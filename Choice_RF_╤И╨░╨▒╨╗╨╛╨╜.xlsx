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Гаухар\Документация\заявление\"/>
    </mc:Choice>
  </mc:AlternateContent>
  <xr:revisionPtr revIDLastSave="0" documentId="13_ncr:1_{C1017E64-7774-49A9-B68B-AC573C35AD45}" xr6:coauthVersionLast="47" xr6:coauthVersionMax="47" xr10:uidLastSave="{00000000-0000-0000-0000-000000000000}"/>
  <bookViews>
    <workbookView xWindow="-120" yWindow="-120" windowWidth="29040" windowHeight="15720" xr2:uid="{FCC36CAA-99CE-4CF9-822D-B6826151215E}"/>
  </bookViews>
  <sheets>
    <sheet name="свод_1_CLAUDE" sheetId="2" r:id="rId1"/>
    <sheet name="Лист1" sheetId="1" r:id="rId2"/>
  </sheets>
  <definedNames>
    <definedName name="_xlnm._FilterDatabase" localSheetId="0" hidden="1">свод_1_CLAUDE!$A$3:$BO$3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N90" i="2" l="1"/>
  <c r="BI90" i="2"/>
  <c r="BD90" i="2"/>
  <c r="BN89" i="2"/>
  <c r="BI89" i="2"/>
  <c r="BD89" i="2"/>
  <c r="BN88" i="2"/>
  <c r="BI88" i="2"/>
  <c r="BD88" i="2"/>
  <c r="BN87" i="2"/>
  <c r="BH87" i="2"/>
  <c r="BG87" i="2"/>
  <c r="BI87" i="2" s="1"/>
  <c r="BC87" i="2"/>
  <c r="BD87" i="2" s="1"/>
  <c r="BB87" i="2"/>
  <c r="AI87" i="2"/>
  <c r="AG87" i="2"/>
  <c r="BN86" i="2"/>
  <c r="BH86" i="2"/>
  <c r="BI86" i="2" s="1"/>
  <c r="BG86" i="2"/>
  <c r="BC86" i="2"/>
  <c r="BD86" i="2" s="1"/>
  <c r="BB86" i="2"/>
  <c r="C86" i="2"/>
  <c r="BN85" i="2"/>
  <c r="BI85" i="2"/>
  <c r="BD85" i="2"/>
  <c r="BN84" i="2"/>
  <c r="BI84" i="2"/>
  <c r="BD84" i="2"/>
  <c r="BN83" i="2"/>
  <c r="BI83" i="2"/>
  <c r="BD83" i="2"/>
  <c r="BN82" i="2"/>
  <c r="BI82" i="2"/>
  <c r="BD82" i="2"/>
  <c r="AG82" i="2"/>
  <c r="AF82" i="2"/>
  <c r="BN81" i="2"/>
  <c r="BI81" i="2"/>
  <c r="BD81" i="2"/>
  <c r="AG81" i="2"/>
  <c r="AF81" i="2"/>
  <c r="BN80" i="2"/>
  <c r="BI80" i="2"/>
  <c r="C80" i="2"/>
  <c r="BN79" i="2"/>
  <c r="BN78" i="2"/>
  <c r="BN77" i="2"/>
  <c r="BD77" i="2"/>
  <c r="C77" i="2"/>
  <c r="BN76" i="2"/>
  <c r="BN75" i="2"/>
  <c r="BN74" i="2"/>
  <c r="BN73" i="2"/>
  <c r="BN72" i="2"/>
  <c r="BN71" i="2"/>
  <c r="BN70" i="2"/>
  <c r="BN69" i="2"/>
  <c r="BN68" i="2"/>
  <c r="C68" i="2"/>
  <c r="AO65" i="2"/>
  <c r="BN64" i="2"/>
  <c r="AO64" i="2"/>
  <c r="BN63" i="2"/>
  <c r="AO63" i="2"/>
  <c r="BN62" i="2"/>
  <c r="AO62" i="2"/>
  <c r="BN61" i="2"/>
  <c r="AO61" i="2"/>
  <c r="BN60" i="2"/>
  <c r="AO60" i="2"/>
  <c r="C60" i="2"/>
  <c r="BN59" i="2"/>
  <c r="AG59" i="2"/>
  <c r="BN58" i="2"/>
  <c r="BN57" i="2"/>
  <c r="BN56" i="2"/>
  <c r="BN55" i="2"/>
  <c r="BN54" i="2"/>
  <c r="BN53" i="2"/>
  <c r="BN52" i="2"/>
  <c r="BN51" i="2"/>
  <c r="C51" i="2"/>
  <c r="BN49" i="2"/>
  <c r="O49" i="2"/>
  <c r="O50" i="2" s="1"/>
  <c r="BN50" i="2" s="1"/>
  <c r="BN48" i="2"/>
  <c r="O48" i="2"/>
  <c r="BN47" i="2"/>
  <c r="O43" i="2"/>
  <c r="O44" i="2" s="1"/>
  <c r="BN42" i="2"/>
  <c r="BN41" i="2"/>
  <c r="O41" i="2"/>
  <c r="BN40" i="2"/>
  <c r="C40" i="2"/>
  <c r="BN37" i="2"/>
  <c r="BI37" i="2"/>
  <c r="BD37" i="2"/>
  <c r="BN36" i="2"/>
  <c r="BI36" i="2"/>
  <c r="BD36" i="2"/>
  <c r="BN35" i="2"/>
  <c r="BI35" i="2"/>
  <c r="BD35" i="2"/>
  <c r="BN34" i="2"/>
  <c r="BI34" i="2"/>
  <c r="BD34" i="2"/>
  <c r="BN33" i="2"/>
  <c r="BI33" i="2"/>
  <c r="BD33" i="2"/>
  <c r="BN32" i="2"/>
  <c r="BI32" i="2"/>
  <c r="BD32" i="2"/>
  <c r="BE29" i="2" s="1"/>
  <c r="BN31" i="2"/>
  <c r="BI31" i="2"/>
  <c r="BD31" i="2"/>
  <c r="BN30" i="2"/>
  <c r="BI30" i="2"/>
  <c r="BD30" i="2"/>
  <c r="BN29" i="2"/>
  <c r="BI29" i="2"/>
  <c r="BJ29" i="2" s="1"/>
  <c r="BD29" i="2"/>
  <c r="BN28" i="2"/>
  <c r="BI28" i="2"/>
  <c r="BD28" i="2"/>
  <c r="BN27" i="2"/>
  <c r="BI27" i="2"/>
  <c r="BD27" i="2"/>
  <c r="BN26" i="2"/>
  <c r="BI26" i="2"/>
  <c r="BD26" i="2"/>
  <c r="BN25" i="2"/>
  <c r="BI25" i="2"/>
  <c r="BD25" i="2"/>
  <c r="BN24" i="2"/>
  <c r="BI24" i="2"/>
  <c r="BD24" i="2"/>
  <c r="BN23" i="2"/>
  <c r="BI23" i="2"/>
  <c r="BD23" i="2"/>
  <c r="C23" i="2"/>
  <c r="O18" i="2"/>
  <c r="O19" i="2" s="1"/>
  <c r="BN17" i="2"/>
  <c r="BD16" i="2"/>
  <c r="BD15" i="2"/>
  <c r="BD14" i="2"/>
  <c r="BN13" i="2"/>
  <c r="BD13" i="2"/>
  <c r="O13" i="2"/>
  <c r="O14" i="2" s="1"/>
  <c r="BN12" i="2"/>
  <c r="BD12" i="2"/>
  <c r="C12" i="2"/>
  <c r="BN11" i="2"/>
  <c r="BD11" i="2"/>
  <c r="BN10" i="2"/>
  <c r="BD10" i="2"/>
  <c r="BN9" i="2"/>
  <c r="BD9" i="2"/>
  <c r="C9" i="2"/>
  <c r="AP8" i="2"/>
  <c r="BN6" i="2"/>
  <c r="R6" i="2"/>
  <c r="BN5" i="2"/>
  <c r="BD5" i="2"/>
  <c r="BN4" i="2"/>
  <c r="BD4" i="2"/>
  <c r="C4" i="2"/>
  <c r="O15" i="2" l="1"/>
  <c r="BN14" i="2"/>
  <c r="O20" i="2"/>
  <c r="BN19" i="2"/>
  <c r="O45" i="2"/>
  <c r="BN44" i="2"/>
  <c r="BN43" i="2"/>
  <c r="BN18" i="2"/>
  <c r="O46" i="2" l="1"/>
  <c r="BN46" i="2" s="1"/>
  <c r="BN45" i="2"/>
  <c r="O21" i="2"/>
  <c r="BN21" i="2" s="1"/>
  <c r="BN20" i="2"/>
  <c r="O16" i="2"/>
  <c r="BN16" i="2" s="1"/>
  <c r="BN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Камариденова Гаухар Сериковна</author>
  </authors>
  <commentList>
    <comment ref="AG4" authorId="0" shapeId="0" xr:uid="{B85F6C64-002C-4C15-9525-313FEDAE35C7}">
      <text>
        <r>
          <rPr>
            <b/>
            <sz val="9"/>
            <color indexed="81"/>
            <rFont val="Tahoma"/>
            <family val="2"/>
            <charset val="204"/>
          </rPr>
          <t>газ толщ</t>
        </r>
      </text>
    </comment>
    <comment ref="AJ4" authorId="0" shapeId="0" xr:uid="{6FEAC1B3-DC60-4108-9957-D2F39C5D5E40}">
      <text>
        <r>
          <rPr>
            <b/>
            <sz val="9"/>
            <color indexed="81"/>
            <rFont val="Tahoma"/>
            <family val="2"/>
            <charset val="204"/>
          </rPr>
          <t>по ГИС надтульского возраста 1-3 объектов</t>
        </r>
      </text>
    </comment>
    <comment ref="AG5" authorId="0" shapeId="0" xr:uid="{8CBA2B42-EC0B-426B-B59E-54D8D0DCFA4B}">
      <text>
        <r>
          <rPr>
            <b/>
            <sz val="9"/>
            <color indexed="81"/>
            <rFont val="Tahoma"/>
            <family val="2"/>
            <charset val="204"/>
          </rPr>
          <t>газонас толщ</t>
        </r>
      </text>
    </comment>
    <comment ref="AJ6" authorId="0" shapeId="0" xr:uid="{2B5BD8C9-9EEB-4ECF-B1FE-BCDFB86759F3}">
      <text>
        <r>
          <rPr>
            <b/>
            <sz val="9"/>
            <color indexed="81"/>
            <rFont val="Tahoma"/>
            <family val="2"/>
            <charset val="204"/>
          </rPr>
          <t>по опроб, подтульского возраста, относ к 3 об</t>
        </r>
      </text>
    </comment>
    <comment ref="AO47" authorId="0" shapeId="0" xr:uid="{F7FED157-72CE-4308-8512-AD7CEAF0CBF5}">
      <text>
        <r>
          <rPr>
            <b/>
            <sz val="9"/>
            <color indexed="81"/>
            <rFont val="Tahoma"/>
            <family val="2"/>
            <charset val="204"/>
          </rPr>
          <t>требов доразведка</t>
        </r>
      </text>
    </comment>
  </commentList>
</comments>
</file>

<file path=xl/sharedStrings.xml><?xml version="1.0" encoding="utf-8"?>
<sst xmlns="http://schemas.openxmlformats.org/spreadsheetml/2006/main" count="688" uniqueCount="271">
  <si>
    <t>глуб залеган</t>
  </si>
  <si>
    <t>газ</t>
  </si>
  <si>
    <t>конденсат</t>
  </si>
  <si>
    <t>М/р</t>
  </si>
  <si>
    <t>Проект</t>
  </si>
  <si>
    <t>Тип УВС</t>
  </si>
  <si>
    <t>Горизонты (текст)</t>
  </si>
  <si>
    <t>Горизонты (маркировка)</t>
  </si>
  <si>
    <t>Объекты</t>
  </si>
  <si>
    <t>Названия горизонта</t>
  </si>
  <si>
    <t>Тип коллектора</t>
  </si>
  <si>
    <t>Литология</t>
  </si>
  <si>
    <t>кровля</t>
  </si>
  <si>
    <t>ВНК/ГВК, абс отм,м</t>
  </si>
  <si>
    <t>Плотность нефти/конд в пласт усл, кг/м3</t>
  </si>
  <si>
    <t>Плотность нефти/конд в поверх усл, кг/м3</t>
  </si>
  <si>
    <t>Вязкость нефти в пласт усл, мПа*с</t>
  </si>
  <si>
    <t>ГС, м3/т</t>
  </si>
  <si>
    <t>Плотность газа в пласт усл, кг/м3</t>
  </si>
  <si>
    <t>Относ газа в поверх усл, кг/м3</t>
  </si>
  <si>
    <t>плотность воды, кг/м3</t>
  </si>
  <si>
    <t>вязкость воды, мПа*с</t>
  </si>
  <si>
    <t>Рпл нач, МПА</t>
  </si>
  <si>
    <t>Тпл нач, С</t>
  </si>
  <si>
    <t>Рнас/Рконд, МПа</t>
  </si>
  <si>
    <t>Коэф нефтегазонасыщенности</t>
  </si>
  <si>
    <t>Доля колл</t>
  </si>
  <si>
    <t>Коэф песч</t>
  </si>
  <si>
    <t>Коэф расчл</t>
  </si>
  <si>
    <t>Нср, м</t>
  </si>
  <si>
    <t>Кпор, д.ед.</t>
  </si>
  <si>
    <t>Кпрон, 10-3 мкм2</t>
  </si>
  <si>
    <t>Гранич знач Кп, д. ед.</t>
  </si>
  <si>
    <t>Гранич знач Кпр*10-3, мкм2</t>
  </si>
  <si>
    <t>Z коэф сжим</t>
  </si>
  <si>
    <t>Объем коэф</t>
  </si>
  <si>
    <t>Остат водонас</t>
  </si>
  <si>
    <t>КИН</t>
  </si>
  <si>
    <t>КИГ</t>
  </si>
  <si>
    <t>КИК</t>
  </si>
  <si>
    <t>КГФ, г/м2</t>
  </si>
  <si>
    <t>Коммент</t>
  </si>
  <si>
    <t>НГЗ</t>
  </si>
  <si>
    <t>НИЗ</t>
  </si>
  <si>
    <t>Ср КИГ</t>
  </si>
  <si>
    <t>Ср КИК</t>
  </si>
  <si>
    <t>Бассейн</t>
  </si>
  <si>
    <t>CLAUDE</t>
  </si>
  <si>
    <t>Северо-Прикаспийский бассейн</t>
  </si>
  <si>
    <t>ПР-2018г</t>
  </si>
  <si>
    <t>нижнеперм</t>
  </si>
  <si>
    <t>Подошва кунгура -филипповский, нижн ассельским-холодноложс нижн</t>
  </si>
  <si>
    <t>I объект</t>
  </si>
  <si>
    <t xml:space="preserve"> -3494.6-4895.3</t>
  </si>
  <si>
    <t>627.5/531.5/677.8</t>
  </si>
  <si>
    <t>В 2018г ПЗ и ТС</t>
  </si>
  <si>
    <t>A1</t>
  </si>
  <si>
    <t>нижне-среднекамен ГК часть</t>
  </si>
  <si>
    <t>турне-серпухов-визе (к верхнему визе относится тульский горизонт)</t>
  </si>
  <si>
    <t>II объект</t>
  </si>
  <si>
    <t>турне</t>
  </si>
  <si>
    <t>серпухов</t>
  </si>
  <si>
    <t>визе</t>
  </si>
  <si>
    <t xml:space="preserve"> -4307.7-4946.1</t>
  </si>
  <si>
    <t>822.3/752.5/771.8</t>
  </si>
  <si>
    <t>матрица+трещины</t>
  </si>
  <si>
    <t>нефть</t>
  </si>
  <si>
    <t>нижнекам+верхнедев нефтяная часть</t>
  </si>
  <si>
    <t>ср девон</t>
  </si>
  <si>
    <t>III объект</t>
  </si>
  <si>
    <t>верхнедевон</t>
  </si>
  <si>
    <t>636.8/394.5/424.9</t>
  </si>
  <si>
    <t xml:space="preserve"> 43.9-53.5</t>
  </si>
  <si>
    <t>ПРМ-2022</t>
  </si>
  <si>
    <t>ср карбон</t>
  </si>
  <si>
    <r>
      <t>C</t>
    </r>
    <r>
      <rPr>
        <b/>
        <vertAlign val="subscript"/>
        <sz val="11"/>
        <color theme="1"/>
        <rFont val="Times New Roman"/>
        <family val="1"/>
        <charset val="204"/>
      </rPr>
      <t>1</t>
    </r>
    <r>
      <rPr>
        <b/>
        <vertAlign val="superscript"/>
        <sz val="11"/>
        <color theme="1"/>
        <rFont val="Times New Roman"/>
        <family val="1"/>
        <charset val="204"/>
      </rPr>
      <t xml:space="preserve">2 </t>
    </r>
    <r>
      <rPr>
        <b/>
        <sz val="11"/>
        <color theme="1"/>
        <rFont val="Times New Roman"/>
        <family val="1"/>
        <charset val="204"/>
      </rPr>
      <t>bb</t>
    </r>
  </si>
  <si>
    <t>I объект возврат</t>
  </si>
  <si>
    <t>среднекарбон</t>
  </si>
  <si>
    <t>B1</t>
  </si>
  <si>
    <t>нижн карбон</t>
  </si>
  <si>
    <t>C1 t Пласт А</t>
  </si>
  <si>
    <t>нижнекарбон</t>
  </si>
  <si>
    <t xml:space="preserve"> 4330/4344.4</t>
  </si>
  <si>
    <t>1099-.3-1201</t>
  </si>
  <si>
    <r>
      <t>C</t>
    </r>
    <r>
      <rPr>
        <b/>
        <vertAlign val="subscript"/>
        <sz val="11"/>
        <color theme="1"/>
        <rFont val="Times New Roman"/>
        <family val="1"/>
        <charset val="204"/>
      </rPr>
      <t xml:space="preserve">1 </t>
    </r>
    <r>
      <rPr>
        <b/>
        <sz val="11"/>
        <color theme="1"/>
        <rFont val="Times New Roman"/>
        <family val="1"/>
        <charset val="204"/>
      </rPr>
      <t>t Пласт Б</t>
    </r>
  </si>
  <si>
    <t>Восточно-Прикаспийская область</t>
  </si>
  <si>
    <t>ПРМ-2024</t>
  </si>
  <si>
    <t>СВ+ГШ</t>
  </si>
  <si>
    <t>верхний карбон верхнемоск, касим, гжельский</t>
  </si>
  <si>
    <t>КТ-1 А</t>
  </si>
  <si>
    <t>верхнекарбон</t>
  </si>
  <si>
    <t>1 блок -2814,1м</t>
  </si>
  <si>
    <t>0.01-1</t>
  </si>
  <si>
    <t xml:space="preserve"> 1-20</t>
  </si>
  <si>
    <t>0,8087</t>
  </si>
  <si>
    <t>0,0031</t>
  </si>
  <si>
    <t>1 блок = 305</t>
  </si>
  <si>
    <t>C1</t>
  </si>
  <si>
    <t>КТ-1 Б</t>
  </si>
  <si>
    <t>2 блок -2748,3м</t>
  </si>
  <si>
    <t>2 блок = 308</t>
  </si>
  <si>
    <t>КТ-1 В1</t>
  </si>
  <si>
    <t>КТ-1 В2</t>
  </si>
  <si>
    <t>ГШ</t>
  </si>
  <si>
    <t>КТ-1 В3</t>
  </si>
  <si>
    <t>НО</t>
  </si>
  <si>
    <t>2  блок-2825,7</t>
  </si>
  <si>
    <t xml:space="preserve"> 0.01-1</t>
  </si>
  <si>
    <t>ПЗ-2018г</t>
  </si>
  <si>
    <t>Турнейский горизонт T-I A</t>
  </si>
  <si>
    <t>ПЗ-2014</t>
  </si>
  <si>
    <t>D1</t>
  </si>
  <si>
    <t>Турнейский горизонт T-I Б</t>
  </si>
  <si>
    <t>Турнейский горизонт T-II</t>
  </si>
  <si>
    <t>Турнейский горизонт T-III</t>
  </si>
  <si>
    <t>Турнейский горизонт T-I Южуч</t>
  </si>
  <si>
    <t>Турнейский горизонт T-II юж уч</t>
  </si>
  <si>
    <t>Муллинский горизонт - D2gv(ml) Сев-Вост участок</t>
  </si>
  <si>
    <t>ПЗ-2017 по Сев-вост участку</t>
  </si>
  <si>
    <t>Муллинский горизонт - D2gv(ml) Зап участок</t>
  </si>
  <si>
    <t>ПЗ-2018 по Запад участку</t>
  </si>
  <si>
    <t>Ардатовский горизонт D2gv (ad) Сев-Вост</t>
  </si>
  <si>
    <t>Ардатовский горизонт D2gv (ad) Юж уч</t>
  </si>
  <si>
    <t>Афонинский горизонт D2ef (af) Сев-Вост уч</t>
  </si>
  <si>
    <t>IV объект</t>
  </si>
  <si>
    <t>Афонинский горизонт D2ef (af) Зап уч</t>
  </si>
  <si>
    <t>Бийский горизонт D2ef(bs) Сев-Вост</t>
  </si>
  <si>
    <t>Бийский горизонт D2ef(bs) Зап уч</t>
  </si>
  <si>
    <t>Фаменский горизонт D3(fm) Юж уч</t>
  </si>
  <si>
    <t>ПЗ 2005г</t>
  </si>
  <si>
    <t>нижнетриас</t>
  </si>
  <si>
    <t>Т-1</t>
  </si>
  <si>
    <t>триас</t>
  </si>
  <si>
    <t>пластовая сводовая, тектонически экранированная, литологически экран</t>
  </si>
  <si>
    <t>&gt;=0,135</t>
  </si>
  <si>
    <t>&gt;=5</t>
  </si>
  <si>
    <t xml:space="preserve">Sво=0,0334*Кп-1,3517 </t>
  </si>
  <si>
    <t>E1</t>
  </si>
  <si>
    <t>Т-2</t>
  </si>
  <si>
    <t xml:space="preserve">Sво= -0,0431*Ln(Кпр)+0,5025 </t>
  </si>
  <si>
    <t xml:space="preserve"> татар верхней перми</t>
  </si>
  <si>
    <t>Р-1</t>
  </si>
  <si>
    <t>верхнеперм</t>
  </si>
  <si>
    <t>Р-2</t>
  </si>
  <si>
    <t>Р-3</t>
  </si>
  <si>
    <t>Р-4</t>
  </si>
  <si>
    <t>Р-6</t>
  </si>
  <si>
    <t>Р-7</t>
  </si>
  <si>
    <t>Р-8</t>
  </si>
  <si>
    <t>Р-9</t>
  </si>
  <si>
    <t>Р-10</t>
  </si>
  <si>
    <t>УПР-2012г</t>
  </si>
  <si>
    <t>мел</t>
  </si>
  <si>
    <t>I объект (возвратный)</t>
  </si>
  <si>
    <t>песчан, аргил, алеврол, глинист</t>
  </si>
  <si>
    <t>170-200</t>
  </si>
  <si>
    <t>от -5.7 до -34.3</t>
  </si>
  <si>
    <t>10,6</t>
  </si>
  <si>
    <t>H1</t>
  </si>
  <si>
    <t>200-230</t>
  </si>
  <si>
    <t>от -38.3 до 97.03</t>
  </si>
  <si>
    <t>2,9</t>
  </si>
  <si>
    <t>юра</t>
  </si>
  <si>
    <t>II объект (возвратный)</t>
  </si>
  <si>
    <t>песчан, аргил, алеврол</t>
  </si>
  <si>
    <t>240-260</t>
  </si>
  <si>
    <t>-27.7; -98.9; -60.6; -79.2</t>
  </si>
  <si>
    <t>7,7</t>
  </si>
  <si>
    <t>260-300</t>
  </si>
  <si>
    <t>от -119,6 до -175,9</t>
  </si>
  <si>
    <t>22,1</t>
  </si>
  <si>
    <t>320-350</t>
  </si>
  <si>
    <t>-157.1; -160; -168.5; -193; -190</t>
  </si>
  <si>
    <t>9,6</t>
  </si>
  <si>
    <t>нижн триас</t>
  </si>
  <si>
    <t>400-500</t>
  </si>
  <si>
    <t>6,7</t>
  </si>
  <si>
    <t>-</t>
  </si>
  <si>
    <t>350-630</t>
  </si>
  <si>
    <t>6,4</t>
  </si>
  <si>
    <t>ср перм</t>
  </si>
  <si>
    <t>V объект</t>
  </si>
  <si>
    <t>среднеперм</t>
  </si>
  <si>
    <t>песчаник, аргил, алеврол</t>
  </si>
  <si>
    <t>400-700</t>
  </si>
  <si>
    <t>-340; -418</t>
  </si>
  <si>
    <t>9,4</t>
  </si>
  <si>
    <t>VI объект (крутой склон)</t>
  </si>
  <si>
    <t>676-1415</t>
  </si>
  <si>
    <t>от -448.1 до 1400.8</t>
  </si>
  <si>
    <t>АН-2012</t>
  </si>
  <si>
    <t>кунгур</t>
  </si>
  <si>
    <t>Р1к</t>
  </si>
  <si>
    <t>терриг</t>
  </si>
  <si>
    <t>I1</t>
  </si>
  <si>
    <t>Запасы по состоянию на 01.01.2009г</t>
  </si>
  <si>
    <t>артинский ниж</t>
  </si>
  <si>
    <t>Р-I</t>
  </si>
  <si>
    <t>Р-II</t>
  </si>
  <si>
    <t>Р-III</t>
  </si>
  <si>
    <t>сакмар нижн</t>
  </si>
  <si>
    <t>Р-IV</t>
  </si>
  <si>
    <t>4437-4441, 4583-4593</t>
  </si>
  <si>
    <t>ассельский нижн</t>
  </si>
  <si>
    <t>Р-V</t>
  </si>
  <si>
    <t>средне и нижнекамен</t>
  </si>
  <si>
    <t>КТ-II</t>
  </si>
  <si>
    <t>карбонат</t>
  </si>
  <si>
    <t>4344-4425</t>
  </si>
  <si>
    <t>ПЗ-2010г</t>
  </si>
  <si>
    <t>I объект(пачка А)</t>
  </si>
  <si>
    <t>L1</t>
  </si>
  <si>
    <t>II объект(пачка Б)</t>
  </si>
  <si>
    <t>III объект(пачка Всев)</t>
  </si>
  <si>
    <t>IV объект(пачка Вюг)</t>
  </si>
  <si>
    <t>V объект(Гсев)</t>
  </si>
  <si>
    <t>VI объект(Гюг)</t>
  </si>
  <si>
    <t>VII объект(Дсев)</t>
  </si>
  <si>
    <t>VIII объект(Дв юг)</t>
  </si>
  <si>
    <t>IX объект(Дн юг)</t>
  </si>
  <si>
    <t>Центрально-Прикаспийская область</t>
  </si>
  <si>
    <t>P10</t>
  </si>
  <si>
    <t>M1</t>
  </si>
  <si>
    <t>P50</t>
  </si>
  <si>
    <t>P90</t>
  </si>
  <si>
    <t>Мангистауский бассейн</t>
  </si>
  <si>
    <t>XIXв</t>
  </si>
  <si>
    <t>ВК</t>
  </si>
  <si>
    <t>среднеюрский</t>
  </si>
  <si>
    <t>поровый</t>
  </si>
  <si>
    <t>алеврол</t>
  </si>
  <si>
    <t>/ -1479-1487м</t>
  </si>
  <si>
    <t>0.54-0.55</t>
  </si>
  <si>
    <t>N1</t>
  </si>
  <si>
    <t>XVIIIа+б, в, д</t>
  </si>
  <si>
    <t>/ -1362-1424м</t>
  </si>
  <si>
    <t>14.9-15.6</t>
  </si>
  <si>
    <t>XVIIа, б</t>
  </si>
  <si>
    <t>/ -1303-1310-1317-1339м</t>
  </si>
  <si>
    <t>0.62-0.52</t>
  </si>
  <si>
    <t>XIXб</t>
  </si>
  <si>
    <t>возвр 1</t>
  </si>
  <si>
    <t>/ -1466-1467м</t>
  </si>
  <si>
    <t>ЗК</t>
  </si>
  <si>
    <t>возвр 2</t>
  </si>
  <si>
    <t>/ -1524-1505м</t>
  </si>
  <si>
    <t>0.53-0.57</t>
  </si>
  <si>
    <t>XVIб</t>
  </si>
  <si>
    <t>возвр 3</t>
  </si>
  <si>
    <t>/ -1285-1299м</t>
  </si>
  <si>
    <t>0.55-0.56</t>
  </si>
  <si>
    <t>ПРМ-2025</t>
  </si>
  <si>
    <t>IX а</t>
  </si>
  <si>
    <t>O1</t>
  </si>
  <si>
    <t>IX б + X а</t>
  </si>
  <si>
    <t xml:space="preserve"> -2214-2302</t>
  </si>
  <si>
    <t>0.671-0.654</t>
  </si>
  <si>
    <t>X б</t>
  </si>
  <si>
    <t>XI</t>
  </si>
  <si>
    <t>триас 1В</t>
  </si>
  <si>
    <t>терриген</t>
  </si>
  <si>
    <r>
      <t>К</t>
    </r>
    <r>
      <rPr>
        <vertAlign val="subscript"/>
        <sz val="10"/>
        <color rgb="FF000000"/>
        <rFont val="Times New Roman"/>
        <family val="1"/>
        <charset val="204"/>
      </rPr>
      <t>1</t>
    </r>
    <r>
      <rPr>
        <sz val="10"/>
        <color rgb="FF000000"/>
        <rFont val="Times New Roman"/>
        <family val="1"/>
        <charset val="204"/>
      </rPr>
      <t>br</t>
    </r>
  </si>
  <si>
    <r>
      <t>К</t>
    </r>
    <r>
      <rPr>
        <vertAlign val="subscript"/>
        <sz val="10"/>
        <color rgb="FF000000"/>
        <rFont val="Times New Roman"/>
        <family val="1"/>
        <charset val="204"/>
      </rPr>
      <t>1</t>
    </r>
    <r>
      <rPr>
        <sz val="10"/>
        <color rgb="FF000000"/>
        <rFont val="Times New Roman"/>
        <family val="1"/>
        <charset val="204"/>
      </rPr>
      <t>ht</t>
    </r>
  </si>
  <si>
    <r>
      <t>Ю</t>
    </r>
    <r>
      <rPr>
        <vertAlign val="sub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>-I</t>
    </r>
  </si>
  <si>
    <r>
      <t>Ю</t>
    </r>
    <r>
      <rPr>
        <vertAlign val="sub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>-II</t>
    </r>
  </si>
  <si>
    <r>
      <t>Ю</t>
    </r>
    <r>
      <rPr>
        <vertAlign val="sub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>-III</t>
    </r>
  </si>
  <si>
    <r>
      <t>Т</t>
    </r>
    <r>
      <rPr>
        <vertAlign val="subscript"/>
        <sz val="10"/>
        <color rgb="FF000000"/>
        <rFont val="Times New Roman"/>
        <family val="1"/>
        <charset val="204"/>
      </rPr>
      <t>1</t>
    </r>
    <r>
      <rPr>
        <sz val="10"/>
        <color rgb="FF000000"/>
        <rFont val="Times New Roman"/>
        <family val="1"/>
        <charset val="204"/>
      </rPr>
      <t>-I</t>
    </r>
  </si>
  <si>
    <r>
      <t>Т</t>
    </r>
    <r>
      <rPr>
        <vertAlign val="subscript"/>
        <sz val="10"/>
        <color rgb="FF000000"/>
        <rFont val="Times New Roman"/>
        <family val="1"/>
        <charset val="204"/>
      </rPr>
      <t>1</t>
    </r>
    <r>
      <rPr>
        <sz val="10"/>
        <color rgb="FF000000"/>
        <rFont val="Times New Roman"/>
        <family val="1"/>
        <charset val="204"/>
      </rPr>
      <t>-II</t>
    </r>
  </si>
  <si>
    <r>
      <t>Р</t>
    </r>
    <r>
      <rPr>
        <vertAlign val="subscript"/>
        <sz val="10"/>
        <color rgb="FF000000"/>
        <rFont val="Times New Roman"/>
        <family val="1"/>
        <charset val="204"/>
      </rPr>
      <t>2</t>
    </r>
  </si>
  <si>
    <t xml:space="preserve">в пределах Шубаркудукского поднятия Восточной прибортовой части Прикаспийской впадины и приурочено к соляной ступени, осложняющей северо-западный склон соляного купола
</t>
  </si>
  <si>
    <t>Есть Основной свод и Крутой склон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</si>
</sst>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vertAlign val="subscript"/>
      <sz val="10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5B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6" xfId="0" applyFill="1" applyBorder="1"/>
    <xf numFmtId="0" fontId="0" fillId="4" borderId="1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lef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4" xfId="0" applyFill="1" applyBorder="1" applyAlignment="1">
      <alignment horizontal="left" vertical="center"/>
    </xf>
    <xf numFmtId="0" fontId="0" fillId="5" borderId="4" xfId="0" applyFill="1" applyBorder="1"/>
    <xf numFmtId="0" fontId="0" fillId="5" borderId="6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/>
    <xf numFmtId="0" fontId="0" fillId="6" borderId="1" xfId="0" applyFill="1" applyBorder="1"/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4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5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9" fillId="8" borderId="4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/>
    </xf>
    <xf numFmtId="0" fontId="9" fillId="8" borderId="6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0" fillId="9" borderId="1" xfId="0" applyFill="1" applyBorder="1"/>
    <xf numFmtId="0" fontId="12" fillId="9" borderId="4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12" fillId="9" borderId="6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/>
    </xf>
    <xf numFmtId="0" fontId="12" fillId="9" borderId="5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6" borderId="1" xfId="0" applyFill="1" applyBorder="1" applyAlignment="1">
      <alignment horizontal="left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8" fillId="0" borderId="0" xfId="0" applyFont="1" applyAlignment="1">
      <alignment horizontal="center"/>
    </xf>
    <xf numFmtId="165" fontId="0" fillId="0" borderId="1" xfId="0" applyNumberFormat="1" applyBorder="1"/>
    <xf numFmtId="164" fontId="0" fillId="0" borderId="1" xfId="0" applyNumberFormat="1" applyBorder="1"/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5" xfId="0" applyBorder="1"/>
    <xf numFmtId="0" fontId="16" fillId="9" borderId="1" xfId="0" applyFont="1" applyFill="1" applyBorder="1"/>
    <xf numFmtId="0" fontId="16" fillId="6" borderId="1" xfId="0" applyFont="1" applyFill="1" applyBorder="1" applyAlignment="1">
      <alignment vertical="center"/>
    </xf>
    <xf numFmtId="0" fontId="17" fillId="9" borderId="1" xfId="0" applyFont="1" applyFill="1" applyBorder="1"/>
    <xf numFmtId="0" fontId="17" fillId="9" borderId="4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/>
    </xf>
    <xf numFmtId="0" fontId="17" fillId="9" borderId="4" xfId="0" applyFont="1" applyFill="1" applyBorder="1" applyAlignment="1">
      <alignment horizontal="left"/>
    </xf>
    <xf numFmtId="0" fontId="0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center" wrapText="1"/>
    </xf>
    <xf numFmtId="0" fontId="0" fillId="9" borderId="6" xfId="0" applyFill="1" applyBorder="1" applyAlignment="1">
      <alignment horizont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7" fontId="0" fillId="6" borderId="4" xfId="0" applyNumberFormat="1" applyFill="1" applyBorder="1" applyAlignment="1">
      <alignment horizontal="center" vertical="center"/>
    </xf>
    <xf numFmtId="17" fontId="0" fillId="6" borderId="5" xfId="0" applyNumberFormat="1" applyFill="1" applyBorder="1" applyAlignment="1">
      <alignment horizontal="center" vertical="center"/>
    </xf>
    <xf numFmtId="17" fontId="0" fillId="6" borderId="6" xfId="0" applyNumberForma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0" fillId="6" borderId="4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23E2-3C63-4FD6-A126-A3019B402D70}">
  <sheetPr>
    <tabColor rgb="FF7030A0"/>
  </sheetPr>
  <dimension ref="A2:BT97"/>
  <sheetViews>
    <sheetView tabSelected="1" zoomScale="70" zoomScaleNormal="70" workbookViewId="0">
      <pane xSplit="17" ySplit="3" topLeftCell="R61" activePane="bottomRight" state="frozen"/>
      <selection pane="topRight" activeCell="K1" sqref="K1"/>
      <selection pane="bottomLeft" activeCell="A4" sqref="A4"/>
      <selection pane="bottomRight" activeCell="B80" sqref="B80:Q90"/>
    </sheetView>
  </sheetViews>
  <sheetFormatPr defaultRowHeight="15" outlineLevelCol="1" x14ac:dyDescent="0.25"/>
  <cols>
    <col min="1" max="1" width="3.28515625" style="1" customWidth="1"/>
    <col min="2" max="2" width="12.42578125" style="1" customWidth="1"/>
    <col min="3" max="3" width="13.140625" style="2" customWidth="1"/>
    <col min="4" max="5" width="9.5703125" customWidth="1"/>
    <col min="6" max="6" width="11.7109375" customWidth="1"/>
    <col min="7" max="7" width="15.5703125" customWidth="1"/>
    <col min="8" max="8" width="23.7109375" customWidth="1"/>
    <col min="9" max="13" width="11.85546875" customWidth="1"/>
    <col min="14" max="14" width="20.140625" customWidth="1"/>
    <col min="15" max="16" width="16" customWidth="1"/>
    <col min="17" max="25" width="20.85546875" customWidth="1"/>
    <col min="26" max="27" width="16" customWidth="1"/>
    <col min="28" max="28" width="16" style="1" customWidth="1"/>
    <col min="29" max="29" width="16" customWidth="1"/>
    <col min="30" max="31" width="13.140625" customWidth="1" outlineLevel="1"/>
    <col min="32" max="32" width="12.28515625" customWidth="1" outlineLevel="1"/>
    <col min="33" max="33" width="10.5703125" style="1" customWidth="1" outlineLevel="1"/>
    <col min="34" max="35" width="10.5703125" customWidth="1" outlineLevel="1"/>
    <col min="36" max="36" width="13.28515625" customWidth="1" outlineLevel="1"/>
    <col min="37" max="39" width="15.7109375" customWidth="1" outlineLevel="1"/>
    <col min="40" max="40" width="28.42578125" customWidth="1" outlineLevel="1"/>
    <col min="41" max="41" width="10.7109375" customWidth="1"/>
    <col min="42" max="43" width="11.28515625" customWidth="1"/>
    <col min="44" max="44" width="11.28515625" style="1" customWidth="1"/>
    <col min="45" max="45" width="10.42578125" customWidth="1"/>
    <col min="66" max="66" width="9.140625" style="6"/>
  </cols>
  <sheetData>
    <row r="2" spans="1:72" x14ac:dyDescent="0.25">
      <c r="O2" s="3" t="s">
        <v>0</v>
      </c>
      <c r="P2" s="3"/>
      <c r="BB2" s="4" t="s">
        <v>1</v>
      </c>
      <c r="BC2" s="4" t="s">
        <v>1</v>
      </c>
      <c r="BD2" s="4" t="s">
        <v>1</v>
      </c>
      <c r="BG2" s="5" t="s">
        <v>2</v>
      </c>
      <c r="BH2" s="5" t="s">
        <v>2</v>
      </c>
      <c r="BI2" s="5" t="s">
        <v>2</v>
      </c>
    </row>
    <row r="3" spans="1:72" s="12" customFormat="1" ht="45" x14ac:dyDescent="0.25">
      <c r="A3" s="7"/>
      <c r="B3" s="7"/>
      <c r="C3" s="3" t="s">
        <v>3</v>
      </c>
      <c r="D3" s="3" t="s">
        <v>4</v>
      </c>
      <c r="E3" s="3"/>
      <c r="F3" s="3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9" t="s">
        <v>9</v>
      </c>
      <c r="L3" s="9" t="s">
        <v>9</v>
      </c>
      <c r="M3" s="8" t="s">
        <v>10</v>
      </c>
      <c r="N3" s="3" t="s">
        <v>11</v>
      </c>
      <c r="O3" s="3" t="s">
        <v>12</v>
      </c>
      <c r="P3" s="3"/>
      <c r="Q3" s="3" t="s">
        <v>13</v>
      </c>
      <c r="R3" s="8" t="s">
        <v>14</v>
      </c>
      <c r="S3" s="8" t="s">
        <v>15</v>
      </c>
      <c r="T3" s="8" t="s">
        <v>16</v>
      </c>
      <c r="U3" s="8" t="s">
        <v>17</v>
      </c>
      <c r="V3" s="8" t="s">
        <v>18</v>
      </c>
      <c r="W3" s="8" t="s">
        <v>19</v>
      </c>
      <c r="X3" s="8" t="s">
        <v>20</v>
      </c>
      <c r="Y3" s="8" t="s">
        <v>21</v>
      </c>
      <c r="Z3" s="3" t="s">
        <v>22</v>
      </c>
      <c r="AA3" s="3" t="s">
        <v>23</v>
      </c>
      <c r="AB3" s="3" t="s">
        <v>24</v>
      </c>
      <c r="AC3" s="8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8" t="s">
        <v>31</v>
      </c>
      <c r="AJ3" s="8" t="s">
        <v>32</v>
      </c>
      <c r="AK3" s="8" t="s">
        <v>33</v>
      </c>
      <c r="AL3" s="8" t="s">
        <v>34</v>
      </c>
      <c r="AM3" s="8" t="s">
        <v>35</v>
      </c>
      <c r="AN3" s="8" t="s">
        <v>36</v>
      </c>
      <c r="AO3" s="8" t="s">
        <v>37</v>
      </c>
      <c r="AP3" s="8" t="s">
        <v>38</v>
      </c>
      <c r="AQ3" s="8" t="s">
        <v>39</v>
      </c>
      <c r="AR3" s="8" t="s">
        <v>40</v>
      </c>
      <c r="AS3" s="202" t="s">
        <v>41</v>
      </c>
      <c r="AT3" s="202"/>
      <c r="AU3" s="202"/>
      <c r="AV3" s="202"/>
      <c r="AW3" s="202"/>
      <c r="AX3" s="202"/>
      <c r="AY3" s="202"/>
      <c r="AZ3" s="202"/>
      <c r="BA3" s="203"/>
      <c r="BB3" s="10" t="s">
        <v>42</v>
      </c>
      <c r="BC3" s="10" t="s">
        <v>43</v>
      </c>
      <c r="BD3" s="10" t="s">
        <v>38</v>
      </c>
      <c r="BE3" s="11" t="s">
        <v>44</v>
      </c>
      <c r="BG3" s="10" t="s">
        <v>42</v>
      </c>
      <c r="BH3" s="10" t="s">
        <v>43</v>
      </c>
      <c r="BI3" s="8" t="s">
        <v>39</v>
      </c>
      <c r="BJ3" s="11" t="s">
        <v>45</v>
      </c>
      <c r="BN3" s="13"/>
      <c r="BO3" s="12" t="s">
        <v>46</v>
      </c>
      <c r="BT3" s="14" t="s">
        <v>47</v>
      </c>
    </row>
    <row r="4" spans="1:72" s="16" customFormat="1" ht="60" x14ac:dyDescent="0.25">
      <c r="A4" s="204">
        <v>1</v>
      </c>
      <c r="B4" s="207" t="s">
        <v>48</v>
      </c>
      <c r="C4" s="210" t="str">
        <f>BT4</f>
        <v>A1</v>
      </c>
      <c r="D4" s="204" t="s">
        <v>49</v>
      </c>
      <c r="E4" s="15"/>
      <c r="F4" s="16" t="s">
        <v>1</v>
      </c>
      <c r="G4" s="17" t="s">
        <v>50</v>
      </c>
      <c r="H4" s="18" t="s">
        <v>51</v>
      </c>
      <c r="I4" s="16" t="s">
        <v>52</v>
      </c>
      <c r="J4" s="16" t="s">
        <v>50</v>
      </c>
      <c r="O4" s="19" t="s">
        <v>53</v>
      </c>
      <c r="P4" s="19"/>
      <c r="Q4" s="16">
        <v>4950</v>
      </c>
      <c r="Z4" s="16">
        <v>54.6</v>
      </c>
      <c r="AA4" s="16">
        <v>77.099999999999994</v>
      </c>
      <c r="AB4" s="19"/>
      <c r="AC4" s="16">
        <v>0.75389799999999996</v>
      </c>
      <c r="AD4" s="16">
        <v>0.88</v>
      </c>
      <c r="AG4" s="19">
        <v>173.2</v>
      </c>
      <c r="AH4" s="16">
        <v>6.3734100000000002E-2</v>
      </c>
      <c r="AI4" s="16">
        <v>11.5</v>
      </c>
      <c r="AJ4" s="204">
        <v>0.02</v>
      </c>
      <c r="AL4" s="20"/>
      <c r="AM4" s="20"/>
      <c r="AN4" s="204">
        <v>5.0999999999999997E-2</v>
      </c>
      <c r="AO4" s="19"/>
      <c r="AP4" s="19">
        <v>0.41599999999999998</v>
      </c>
      <c r="AQ4" s="19">
        <v>0.19700000000000001</v>
      </c>
      <c r="AR4" s="21" t="s">
        <v>54</v>
      </c>
      <c r="AS4" s="16" t="s">
        <v>55</v>
      </c>
      <c r="BD4" s="16">
        <f>AP4</f>
        <v>0.41599999999999998</v>
      </c>
      <c r="BN4" s="22">
        <f t="shared" ref="BN4:BN5" si="0">IF(AND(LEN(O4)&gt;8,Q4&gt;0),Q4,IF(AND(LEN(O4)&gt;8,Q4=0),LEFT(O4,5),ABS(O4)))</f>
        <v>4950</v>
      </c>
      <c r="BO4" s="16" t="s">
        <v>48</v>
      </c>
      <c r="BT4" s="16" t="s">
        <v>56</v>
      </c>
    </row>
    <row r="5" spans="1:72" s="25" customFormat="1" ht="60" x14ac:dyDescent="0.25">
      <c r="A5" s="205"/>
      <c r="B5" s="208"/>
      <c r="C5" s="211"/>
      <c r="D5" s="205"/>
      <c r="E5" s="23"/>
      <c r="F5" s="16" t="s">
        <v>1</v>
      </c>
      <c r="G5" s="24" t="s">
        <v>57</v>
      </c>
      <c r="H5" s="18" t="s">
        <v>58</v>
      </c>
      <c r="I5" s="16" t="s">
        <v>59</v>
      </c>
      <c r="J5" s="16" t="s">
        <v>60</v>
      </c>
      <c r="K5" s="16" t="s">
        <v>61</v>
      </c>
      <c r="L5" s="16" t="s">
        <v>62</v>
      </c>
      <c r="M5" s="16"/>
      <c r="O5" s="19" t="s">
        <v>63</v>
      </c>
      <c r="P5" s="19"/>
      <c r="Q5" s="16">
        <v>4950</v>
      </c>
      <c r="Z5" s="25">
        <v>56.9</v>
      </c>
      <c r="AA5" s="25">
        <v>83.9</v>
      </c>
      <c r="AB5" s="26"/>
      <c r="AC5" s="25">
        <v>0.76450200000000001</v>
      </c>
      <c r="AD5" s="25">
        <v>0.94</v>
      </c>
      <c r="AG5" s="26">
        <v>354.9</v>
      </c>
      <c r="AH5" s="25">
        <v>6.9601200000000002E-2</v>
      </c>
      <c r="AI5" s="25">
        <v>12.8</v>
      </c>
      <c r="AJ5" s="206"/>
      <c r="AL5" s="27"/>
      <c r="AM5" s="27"/>
      <c r="AN5" s="206"/>
      <c r="AO5" s="19"/>
      <c r="AP5" s="19">
        <v>0.69699999999999995</v>
      </c>
      <c r="AQ5" s="19">
        <v>0.39700000000000002</v>
      </c>
      <c r="AR5" s="28" t="s">
        <v>64</v>
      </c>
      <c r="AS5" s="25" t="s">
        <v>65</v>
      </c>
      <c r="BD5" s="16">
        <f>AP5</f>
        <v>0.69699999999999995</v>
      </c>
      <c r="BN5" s="22">
        <f t="shared" si="0"/>
        <v>4950</v>
      </c>
      <c r="BO5" s="16" t="s">
        <v>48</v>
      </c>
      <c r="BT5" s="16" t="s">
        <v>56</v>
      </c>
    </row>
    <row r="6" spans="1:72" s="16" customFormat="1" ht="45" x14ac:dyDescent="0.25">
      <c r="A6" s="206"/>
      <c r="B6" s="209"/>
      <c r="C6" s="212"/>
      <c r="D6" s="206"/>
      <c r="E6" s="29"/>
      <c r="F6" s="16" t="s">
        <v>66</v>
      </c>
      <c r="G6" s="24" t="s">
        <v>67</v>
      </c>
      <c r="H6" s="18" t="s">
        <v>68</v>
      </c>
      <c r="I6" s="16" t="s">
        <v>69</v>
      </c>
      <c r="J6" s="16" t="s">
        <v>70</v>
      </c>
      <c r="O6" s="19">
        <v>-4950</v>
      </c>
      <c r="P6" s="19"/>
      <c r="Q6" s="16">
        <v>5165</v>
      </c>
      <c r="R6" s="30">
        <f>AVERAGE(829.7,860.3,861.1)</f>
        <v>850.36666666666667</v>
      </c>
      <c r="S6" s="30"/>
      <c r="T6" s="30"/>
      <c r="U6" s="16" t="s">
        <v>71</v>
      </c>
      <c r="X6" s="16">
        <v>1085</v>
      </c>
      <c r="Y6" s="16">
        <v>0.3</v>
      </c>
      <c r="Z6" s="16">
        <v>58.7</v>
      </c>
      <c r="AA6" s="16">
        <v>88.6</v>
      </c>
      <c r="AB6" s="19" t="s">
        <v>72</v>
      </c>
      <c r="AC6" s="16">
        <v>0.68164199999999997</v>
      </c>
      <c r="AD6" s="16">
        <v>0.79</v>
      </c>
      <c r="AG6" s="19">
        <v>142.69999999999999</v>
      </c>
      <c r="AH6" s="16">
        <v>5.9418199999999997E-2</v>
      </c>
      <c r="AI6" s="16">
        <v>4.8</v>
      </c>
      <c r="AJ6" s="16">
        <v>0.03</v>
      </c>
      <c r="AN6" s="19">
        <v>0.10100000000000001</v>
      </c>
      <c r="AO6" s="19">
        <v>0.26400000000000001</v>
      </c>
      <c r="AP6" s="19"/>
      <c r="AQ6" s="19"/>
      <c r="AR6" s="19"/>
      <c r="BN6" s="22">
        <f>IF(AND(LEN(O6)&gt;8,Q6&gt;0),Q6,IF(AND(LEN(O6)&gt;8,Q6=0),LEFT(O6,5),ABS(O6)))</f>
        <v>4950</v>
      </c>
      <c r="BO6" s="16" t="s">
        <v>48</v>
      </c>
      <c r="BT6" s="16" t="s">
        <v>56</v>
      </c>
    </row>
    <row r="7" spans="1:72" x14ac:dyDescent="0.25">
      <c r="H7" s="31"/>
      <c r="I7" s="12"/>
      <c r="J7" s="12"/>
      <c r="K7" s="12"/>
      <c r="L7" s="12"/>
      <c r="M7" s="12"/>
    </row>
    <row r="8" spans="1:72" x14ac:dyDescent="0.25">
      <c r="H8" s="31"/>
      <c r="I8" s="12"/>
      <c r="J8" s="12"/>
      <c r="K8" s="12"/>
      <c r="L8" s="12"/>
      <c r="M8" s="12"/>
      <c r="AP8">
        <f>AVERAGE(AP5,AP9,AP12)</f>
        <v>0.71799999999999997</v>
      </c>
    </row>
    <row r="9" spans="1:72" s="33" customFormat="1" ht="18" x14ac:dyDescent="0.3">
      <c r="A9" s="191">
        <v>2</v>
      </c>
      <c r="B9" s="194" t="s">
        <v>48</v>
      </c>
      <c r="C9" s="197" t="str">
        <f>BT9</f>
        <v>B1</v>
      </c>
      <c r="D9" s="191" t="s">
        <v>73</v>
      </c>
      <c r="E9" s="32"/>
      <c r="F9" s="33" t="s">
        <v>1</v>
      </c>
      <c r="G9" s="33" t="s">
        <v>74</v>
      </c>
      <c r="H9" s="34" t="s">
        <v>75</v>
      </c>
      <c r="I9" s="35" t="s">
        <v>76</v>
      </c>
      <c r="J9" s="35" t="s">
        <v>77</v>
      </c>
      <c r="K9" s="35"/>
      <c r="L9" s="35"/>
      <c r="M9" s="35"/>
      <c r="O9" s="36">
        <v>4382.3999999999996</v>
      </c>
      <c r="P9" s="36"/>
      <c r="Q9" s="36">
        <v>4221.3</v>
      </c>
      <c r="R9" s="33">
        <v>564.29999999999995</v>
      </c>
      <c r="Z9" s="33">
        <v>48.78</v>
      </c>
      <c r="AA9" s="33">
        <v>91</v>
      </c>
      <c r="AB9" s="37">
        <v>33.9</v>
      </c>
      <c r="AC9" s="33">
        <v>0.81</v>
      </c>
      <c r="AD9" s="33">
        <v>0.25</v>
      </c>
      <c r="AF9" s="33">
        <v>4.9000000000000004</v>
      </c>
      <c r="AG9" s="37">
        <v>5.7</v>
      </c>
      <c r="AH9" s="33">
        <v>0.06</v>
      </c>
      <c r="AI9" s="33">
        <v>13.62</v>
      </c>
      <c r="AN9" s="33">
        <v>0.35</v>
      </c>
      <c r="AP9" s="33">
        <v>0.67600000000000005</v>
      </c>
      <c r="AQ9" s="33">
        <v>0.60599999999999998</v>
      </c>
      <c r="AR9" s="37">
        <v>1116.9000000000001</v>
      </c>
      <c r="BD9" s="33">
        <f>AP9</f>
        <v>0.67600000000000005</v>
      </c>
      <c r="BN9" s="22">
        <f t="shared" ref="BN9:BN21" si="1">IF(AND(LEN(O9)&gt;8,Q9&gt;0),Q9,IF(AND(LEN(O9)&gt;8,Q9=0),LEFT(O9,4),ABS(O9)))</f>
        <v>4382.3999999999996</v>
      </c>
      <c r="BO9" s="33" t="s">
        <v>48</v>
      </c>
      <c r="BT9" s="16" t="s">
        <v>78</v>
      </c>
    </row>
    <row r="10" spans="1:72" s="33" customFormat="1" x14ac:dyDescent="0.25">
      <c r="A10" s="192"/>
      <c r="B10" s="195"/>
      <c r="C10" s="198"/>
      <c r="D10" s="192"/>
      <c r="E10" s="38"/>
      <c r="F10" s="33" t="s">
        <v>1</v>
      </c>
      <c r="G10" s="33" t="s">
        <v>79</v>
      </c>
      <c r="H10" s="39" t="s">
        <v>80</v>
      </c>
      <c r="I10" s="200" t="s">
        <v>52</v>
      </c>
      <c r="J10" s="40" t="s">
        <v>81</v>
      </c>
      <c r="K10" s="40"/>
      <c r="L10" s="40"/>
      <c r="M10" s="40"/>
      <c r="O10" s="36">
        <v>4421.3999999999996</v>
      </c>
      <c r="P10" s="36"/>
      <c r="Q10" s="36" t="s">
        <v>82</v>
      </c>
      <c r="R10" s="33">
        <v>797</v>
      </c>
      <c r="V10" s="41"/>
      <c r="W10" s="41"/>
      <c r="X10" s="191" t="s">
        <v>83</v>
      </c>
      <c r="Z10" s="33">
        <v>39.9</v>
      </c>
      <c r="AA10" s="33">
        <v>93</v>
      </c>
      <c r="AB10" s="37">
        <v>39.700000000000003</v>
      </c>
      <c r="AC10" s="33">
        <v>0.82</v>
      </c>
      <c r="AD10" s="33">
        <v>0.46</v>
      </c>
      <c r="AF10" s="33">
        <v>17.100000000000001</v>
      </c>
      <c r="AG10" s="37">
        <v>17.5</v>
      </c>
      <c r="AH10" s="33">
        <v>0.05</v>
      </c>
      <c r="AI10" s="33">
        <v>5.89</v>
      </c>
      <c r="AL10" s="41"/>
      <c r="AM10" s="41"/>
      <c r="AN10" s="186">
        <v>0.40189999999999998</v>
      </c>
      <c r="AP10" s="33">
        <v>0.71499999999999997</v>
      </c>
      <c r="AQ10" s="33">
        <v>0.39500000000000002</v>
      </c>
      <c r="AR10" s="37">
        <v>688.6</v>
      </c>
      <c r="BD10" s="33">
        <f t="shared" ref="BD10:BD16" si="2">AP10</f>
        <v>0.71499999999999997</v>
      </c>
      <c r="BN10" s="22">
        <f t="shared" si="1"/>
        <v>4421.3999999999996</v>
      </c>
      <c r="BO10" s="33" t="s">
        <v>48</v>
      </c>
      <c r="BT10" s="16" t="s">
        <v>78</v>
      </c>
    </row>
    <row r="11" spans="1:72" s="33" customFormat="1" ht="17.25" x14ac:dyDescent="0.25">
      <c r="A11" s="193"/>
      <c r="B11" s="196"/>
      <c r="C11" s="199"/>
      <c r="D11" s="193"/>
      <c r="E11" s="42"/>
      <c r="F11" s="33" t="s">
        <v>1</v>
      </c>
      <c r="G11" s="33" t="s">
        <v>79</v>
      </c>
      <c r="H11" s="43" t="s">
        <v>84</v>
      </c>
      <c r="I11" s="201"/>
      <c r="J11" s="40" t="s">
        <v>81</v>
      </c>
      <c r="K11" s="44"/>
      <c r="L11" s="44"/>
      <c r="M11" s="44"/>
      <c r="O11" s="36">
        <v>4332.8</v>
      </c>
      <c r="P11" s="36"/>
      <c r="Q11" s="36">
        <v>4305.3</v>
      </c>
      <c r="R11" s="33">
        <v>797.7</v>
      </c>
      <c r="V11" s="45"/>
      <c r="W11" s="45"/>
      <c r="X11" s="193"/>
      <c r="Z11" s="33">
        <v>39.700000000000003</v>
      </c>
      <c r="AA11" s="33">
        <v>93</v>
      </c>
      <c r="AB11" s="37">
        <v>39.9</v>
      </c>
      <c r="AC11" s="33">
        <v>0.71</v>
      </c>
      <c r="AD11" s="33">
        <v>0.55000000000000004</v>
      </c>
      <c r="AF11" s="33">
        <v>6.4</v>
      </c>
      <c r="AG11" s="37">
        <v>14.7</v>
      </c>
      <c r="AH11" s="33">
        <v>0.05</v>
      </c>
      <c r="AI11" s="33">
        <v>15.89</v>
      </c>
      <c r="AL11" s="45"/>
      <c r="AM11" s="45"/>
      <c r="AN11" s="187"/>
      <c r="AP11" s="33">
        <v>0.59199999999999997</v>
      </c>
      <c r="AQ11" s="33">
        <v>0.36399999999999999</v>
      </c>
      <c r="AR11" s="37">
        <v>688.6</v>
      </c>
      <c r="BD11" s="33">
        <f t="shared" si="2"/>
        <v>0.59199999999999997</v>
      </c>
      <c r="BN11" s="22">
        <f t="shared" si="1"/>
        <v>4332.8</v>
      </c>
      <c r="BO11" s="33" t="s">
        <v>48</v>
      </c>
      <c r="BT11" s="16" t="s">
        <v>78</v>
      </c>
    </row>
    <row r="12" spans="1:72" s="46" customFormat="1" x14ac:dyDescent="0.25">
      <c r="A12" s="170">
        <v>3</v>
      </c>
      <c r="B12" s="145" t="s">
        <v>85</v>
      </c>
      <c r="C12" s="188" t="str">
        <f>BT12</f>
        <v>C1</v>
      </c>
      <c r="D12" s="170" t="s">
        <v>86</v>
      </c>
      <c r="E12" s="46" t="s">
        <v>87</v>
      </c>
      <c r="F12" s="46" t="s">
        <v>1</v>
      </c>
      <c r="G12" s="179" t="s">
        <v>88</v>
      </c>
      <c r="H12" s="46" t="s">
        <v>89</v>
      </c>
      <c r="I12" s="170" t="s">
        <v>52</v>
      </c>
      <c r="J12" s="47" t="s">
        <v>90</v>
      </c>
      <c r="K12" s="47"/>
      <c r="L12" s="47"/>
      <c r="M12" s="47"/>
      <c r="O12" s="48">
        <v>3000</v>
      </c>
      <c r="P12" s="48"/>
      <c r="Q12" s="48" t="s">
        <v>91</v>
      </c>
      <c r="Z12" s="170">
        <v>30.6</v>
      </c>
      <c r="AA12" s="170">
        <v>66</v>
      </c>
      <c r="AB12" s="170">
        <v>30</v>
      </c>
      <c r="AC12" s="170">
        <v>0.81</v>
      </c>
      <c r="AE12" s="164" t="s">
        <v>92</v>
      </c>
      <c r="AF12" s="173" t="s">
        <v>93</v>
      </c>
      <c r="AG12" s="176">
        <v>63.6</v>
      </c>
      <c r="AH12" s="170">
        <v>0.109</v>
      </c>
      <c r="AI12" s="170">
        <v>56.3</v>
      </c>
      <c r="AL12" s="164" t="s">
        <v>94</v>
      </c>
      <c r="AM12" s="164" t="s">
        <v>95</v>
      </c>
      <c r="AP12" s="46">
        <v>0.78100000000000003</v>
      </c>
      <c r="AQ12" s="46">
        <v>0.26600000000000001</v>
      </c>
      <c r="AR12" s="49" t="s">
        <v>96</v>
      </c>
      <c r="BD12" s="33">
        <f t="shared" si="2"/>
        <v>0.78100000000000003</v>
      </c>
      <c r="BN12" s="22">
        <f t="shared" si="1"/>
        <v>3000</v>
      </c>
      <c r="BO12" s="46" t="s">
        <v>85</v>
      </c>
      <c r="BT12" s="16" t="s">
        <v>97</v>
      </c>
    </row>
    <row r="13" spans="1:72" s="46" customFormat="1" x14ac:dyDescent="0.25">
      <c r="A13" s="171"/>
      <c r="B13" s="146"/>
      <c r="C13" s="189"/>
      <c r="D13" s="171"/>
      <c r="E13" s="46" t="s">
        <v>87</v>
      </c>
      <c r="F13" s="46" t="s">
        <v>1</v>
      </c>
      <c r="G13" s="179"/>
      <c r="H13" s="46" t="s">
        <v>98</v>
      </c>
      <c r="I13" s="171"/>
      <c r="J13" s="47" t="s">
        <v>90</v>
      </c>
      <c r="K13" s="50"/>
      <c r="L13" s="50"/>
      <c r="M13" s="50"/>
      <c r="O13" s="48">
        <f>O12</f>
        <v>3000</v>
      </c>
      <c r="P13" s="48"/>
      <c r="Q13" s="48" t="s">
        <v>99</v>
      </c>
      <c r="Z13" s="171"/>
      <c r="AA13" s="171"/>
      <c r="AB13" s="171"/>
      <c r="AC13" s="171"/>
      <c r="AE13" s="165"/>
      <c r="AF13" s="174"/>
      <c r="AG13" s="177"/>
      <c r="AH13" s="171"/>
      <c r="AI13" s="171"/>
      <c r="AL13" s="165"/>
      <c r="AM13" s="165"/>
      <c r="AP13" s="46">
        <v>0.78100000000000003</v>
      </c>
      <c r="AQ13" s="46">
        <v>0.26600000000000001</v>
      </c>
      <c r="AR13" s="49" t="s">
        <v>100</v>
      </c>
      <c r="BD13" s="33">
        <f t="shared" si="2"/>
        <v>0.78100000000000003</v>
      </c>
      <c r="BN13" s="22">
        <f t="shared" si="1"/>
        <v>3000</v>
      </c>
      <c r="BO13" s="46" t="s">
        <v>85</v>
      </c>
      <c r="BT13" s="16" t="s">
        <v>97</v>
      </c>
    </row>
    <row r="14" spans="1:72" s="46" customFormat="1" x14ac:dyDescent="0.25">
      <c r="A14" s="171"/>
      <c r="B14" s="146"/>
      <c r="C14" s="189"/>
      <c r="D14" s="171"/>
      <c r="E14" s="46" t="s">
        <v>87</v>
      </c>
      <c r="F14" s="46" t="s">
        <v>1</v>
      </c>
      <c r="G14" s="179"/>
      <c r="H14" s="46" t="s">
        <v>101</v>
      </c>
      <c r="I14" s="171"/>
      <c r="J14" s="47" t="s">
        <v>90</v>
      </c>
      <c r="K14" s="50"/>
      <c r="L14" s="50"/>
      <c r="M14" s="50"/>
      <c r="O14" s="48">
        <f t="shared" ref="O14:O16" si="3">O13</f>
        <v>3000</v>
      </c>
      <c r="P14" s="48"/>
      <c r="Q14" s="48"/>
      <c r="Z14" s="171"/>
      <c r="AA14" s="171"/>
      <c r="AB14" s="171"/>
      <c r="AC14" s="171"/>
      <c r="AE14" s="165"/>
      <c r="AF14" s="174"/>
      <c r="AG14" s="177"/>
      <c r="AH14" s="171"/>
      <c r="AI14" s="171"/>
      <c r="AL14" s="165"/>
      <c r="AM14" s="165"/>
      <c r="AP14" s="46">
        <v>0.78100000000000003</v>
      </c>
      <c r="AQ14" s="46">
        <v>0.26600000000000001</v>
      </c>
      <c r="AR14" s="49"/>
      <c r="BD14" s="33">
        <f t="shared" si="2"/>
        <v>0.78100000000000003</v>
      </c>
      <c r="BN14" s="22">
        <f t="shared" si="1"/>
        <v>3000</v>
      </c>
      <c r="BO14" s="46" t="s">
        <v>85</v>
      </c>
      <c r="BT14" s="16" t="s">
        <v>97</v>
      </c>
    </row>
    <row r="15" spans="1:72" s="46" customFormat="1" x14ac:dyDescent="0.25">
      <c r="A15" s="171"/>
      <c r="B15" s="146"/>
      <c r="C15" s="189"/>
      <c r="D15" s="171"/>
      <c r="E15" s="46" t="s">
        <v>87</v>
      </c>
      <c r="F15" s="46" t="s">
        <v>1</v>
      </c>
      <c r="G15" s="179"/>
      <c r="H15" s="46" t="s">
        <v>102</v>
      </c>
      <c r="I15" s="171"/>
      <c r="J15" s="47" t="s">
        <v>90</v>
      </c>
      <c r="K15" s="50"/>
      <c r="L15" s="50"/>
      <c r="M15" s="50"/>
      <c r="O15" s="48">
        <f t="shared" si="3"/>
        <v>3000</v>
      </c>
      <c r="P15" s="48"/>
      <c r="Q15" s="48"/>
      <c r="Z15" s="171"/>
      <c r="AA15" s="171"/>
      <c r="AB15" s="171"/>
      <c r="AC15" s="171"/>
      <c r="AE15" s="165"/>
      <c r="AF15" s="174"/>
      <c r="AG15" s="177"/>
      <c r="AH15" s="171"/>
      <c r="AI15" s="171"/>
      <c r="AL15" s="165"/>
      <c r="AM15" s="165"/>
      <c r="AP15" s="46">
        <v>0.78100000000000003</v>
      </c>
      <c r="AQ15" s="46">
        <v>0.26600000000000001</v>
      </c>
      <c r="AR15" s="49"/>
      <c r="BD15" s="33">
        <f t="shared" si="2"/>
        <v>0.78100000000000003</v>
      </c>
      <c r="BN15" s="22">
        <f t="shared" si="1"/>
        <v>3000</v>
      </c>
      <c r="BO15" s="46" t="s">
        <v>85</v>
      </c>
      <c r="BT15" s="16" t="s">
        <v>97</v>
      </c>
    </row>
    <row r="16" spans="1:72" s="46" customFormat="1" x14ac:dyDescent="0.25">
      <c r="A16" s="171"/>
      <c r="B16" s="146"/>
      <c r="C16" s="189"/>
      <c r="D16" s="171"/>
      <c r="E16" s="46" t="s">
        <v>103</v>
      </c>
      <c r="F16" s="46" t="s">
        <v>1</v>
      </c>
      <c r="G16" s="179"/>
      <c r="H16" s="46" t="s">
        <v>104</v>
      </c>
      <c r="I16" s="172"/>
      <c r="J16" s="47" t="s">
        <v>90</v>
      </c>
      <c r="K16" s="51"/>
      <c r="L16" s="51"/>
      <c r="M16" s="51"/>
      <c r="O16" s="48">
        <f t="shared" si="3"/>
        <v>3000</v>
      </c>
      <c r="P16" s="48"/>
      <c r="Q16" s="48"/>
      <c r="Z16" s="172"/>
      <c r="AA16" s="172"/>
      <c r="AB16" s="172"/>
      <c r="AC16" s="172"/>
      <c r="AE16" s="166"/>
      <c r="AF16" s="175"/>
      <c r="AG16" s="178"/>
      <c r="AH16" s="172"/>
      <c r="AI16" s="172"/>
      <c r="AL16" s="166"/>
      <c r="AM16" s="166"/>
      <c r="AP16" s="46">
        <v>0.78100000000000003</v>
      </c>
      <c r="AQ16" s="46">
        <v>0.26600000000000001</v>
      </c>
      <c r="AR16" s="49"/>
      <c r="BD16" s="33">
        <f t="shared" si="2"/>
        <v>0.78100000000000003</v>
      </c>
      <c r="BN16" s="22">
        <f t="shared" si="1"/>
        <v>3000</v>
      </c>
      <c r="BO16" s="46" t="s">
        <v>85</v>
      </c>
      <c r="BT16" s="16" t="s">
        <v>97</v>
      </c>
    </row>
    <row r="17" spans="1:72" s="46" customFormat="1" x14ac:dyDescent="0.25">
      <c r="A17" s="171"/>
      <c r="B17" s="146"/>
      <c r="C17" s="189"/>
      <c r="D17" s="171"/>
      <c r="E17" s="46" t="s">
        <v>105</v>
      </c>
      <c r="F17" s="46" t="s">
        <v>66</v>
      </c>
      <c r="G17" s="179" t="s">
        <v>88</v>
      </c>
      <c r="H17" s="46" t="s">
        <v>89</v>
      </c>
      <c r="I17" s="170" t="s">
        <v>59</v>
      </c>
      <c r="J17" s="47" t="s">
        <v>90</v>
      </c>
      <c r="K17" s="47"/>
      <c r="L17" s="47"/>
      <c r="M17" s="47"/>
      <c r="O17" s="48">
        <v>3050</v>
      </c>
      <c r="P17" s="48"/>
      <c r="Q17" s="170" t="s">
        <v>106</v>
      </c>
      <c r="R17" s="180">
        <v>640</v>
      </c>
      <c r="S17" s="180">
        <v>819</v>
      </c>
      <c r="T17" s="183">
        <v>0.36499999999999999</v>
      </c>
      <c r="U17" s="170">
        <v>430.1</v>
      </c>
      <c r="V17" s="47"/>
      <c r="W17" s="47"/>
      <c r="Z17" s="170">
        <v>31</v>
      </c>
      <c r="AA17" s="170">
        <v>67</v>
      </c>
      <c r="AB17" s="170">
        <v>27.13</v>
      </c>
      <c r="AC17" s="170">
        <v>0.68</v>
      </c>
      <c r="AE17" s="170" t="s">
        <v>107</v>
      </c>
      <c r="AF17" s="173" t="s">
        <v>93</v>
      </c>
      <c r="AG17" s="176">
        <v>39.4</v>
      </c>
      <c r="AM17" s="164">
        <v>1.7649999999999999</v>
      </c>
      <c r="AR17" s="49"/>
      <c r="BD17" s="33"/>
      <c r="BN17" s="22">
        <f t="shared" si="1"/>
        <v>3050</v>
      </c>
      <c r="BO17" s="46" t="s">
        <v>85</v>
      </c>
      <c r="BT17" s="16" t="s">
        <v>97</v>
      </c>
    </row>
    <row r="18" spans="1:72" s="46" customFormat="1" x14ac:dyDescent="0.25">
      <c r="A18" s="171"/>
      <c r="B18" s="146"/>
      <c r="C18" s="189"/>
      <c r="D18" s="171"/>
      <c r="E18" s="46" t="s">
        <v>105</v>
      </c>
      <c r="F18" s="46" t="s">
        <v>66</v>
      </c>
      <c r="G18" s="179"/>
      <c r="H18" s="46" t="s">
        <v>98</v>
      </c>
      <c r="I18" s="171"/>
      <c r="J18" s="47" t="s">
        <v>90</v>
      </c>
      <c r="K18" s="50"/>
      <c r="L18" s="50"/>
      <c r="M18" s="50"/>
      <c r="O18" s="48">
        <f>O17</f>
        <v>3050</v>
      </c>
      <c r="P18" s="48"/>
      <c r="Q18" s="171"/>
      <c r="R18" s="181"/>
      <c r="S18" s="181"/>
      <c r="T18" s="184"/>
      <c r="U18" s="171"/>
      <c r="V18" s="50"/>
      <c r="W18" s="50"/>
      <c r="Z18" s="171"/>
      <c r="AA18" s="171"/>
      <c r="AB18" s="171"/>
      <c r="AC18" s="171"/>
      <c r="AE18" s="171"/>
      <c r="AF18" s="174"/>
      <c r="AG18" s="177"/>
      <c r="AM18" s="165"/>
      <c r="AR18" s="49"/>
      <c r="BD18" s="33"/>
      <c r="BN18" s="22">
        <f t="shared" si="1"/>
        <v>3050</v>
      </c>
      <c r="BO18" s="46" t="s">
        <v>85</v>
      </c>
      <c r="BT18" s="16" t="s">
        <v>97</v>
      </c>
    </row>
    <row r="19" spans="1:72" s="46" customFormat="1" x14ac:dyDescent="0.25">
      <c r="A19" s="171"/>
      <c r="B19" s="146"/>
      <c r="C19" s="189"/>
      <c r="D19" s="171"/>
      <c r="E19" s="46" t="s">
        <v>105</v>
      </c>
      <c r="F19" s="46" t="s">
        <v>66</v>
      </c>
      <c r="G19" s="179"/>
      <c r="H19" s="46" t="s">
        <v>101</v>
      </c>
      <c r="I19" s="171"/>
      <c r="J19" s="47" t="s">
        <v>90</v>
      </c>
      <c r="K19" s="50"/>
      <c r="L19" s="50"/>
      <c r="M19" s="50"/>
      <c r="O19" s="48">
        <f t="shared" ref="O19:O21" si="4">O18</f>
        <v>3050</v>
      </c>
      <c r="P19" s="48"/>
      <c r="Q19" s="171"/>
      <c r="R19" s="181"/>
      <c r="S19" s="181"/>
      <c r="T19" s="184"/>
      <c r="U19" s="171"/>
      <c r="V19" s="50"/>
      <c r="W19" s="50"/>
      <c r="Z19" s="171"/>
      <c r="AA19" s="171"/>
      <c r="AB19" s="171"/>
      <c r="AC19" s="171"/>
      <c r="AE19" s="171"/>
      <c r="AF19" s="174"/>
      <c r="AG19" s="177"/>
      <c r="AM19" s="165"/>
      <c r="AR19" s="49"/>
      <c r="BD19" s="33"/>
      <c r="BN19" s="22">
        <f t="shared" si="1"/>
        <v>3050</v>
      </c>
      <c r="BO19" s="46" t="s">
        <v>85</v>
      </c>
      <c r="BT19" s="16" t="s">
        <v>97</v>
      </c>
    </row>
    <row r="20" spans="1:72" s="46" customFormat="1" x14ac:dyDescent="0.25">
      <c r="A20" s="171"/>
      <c r="B20" s="146"/>
      <c r="C20" s="189"/>
      <c r="D20" s="171"/>
      <c r="E20" s="46" t="s">
        <v>105</v>
      </c>
      <c r="F20" s="46" t="s">
        <v>66</v>
      </c>
      <c r="G20" s="179"/>
      <c r="H20" s="46" t="s">
        <v>102</v>
      </c>
      <c r="I20" s="171"/>
      <c r="J20" s="47" t="s">
        <v>90</v>
      </c>
      <c r="K20" s="50"/>
      <c r="L20" s="50"/>
      <c r="M20" s="50"/>
      <c r="O20" s="48">
        <f t="shared" si="4"/>
        <v>3050</v>
      </c>
      <c r="P20" s="48"/>
      <c r="Q20" s="171"/>
      <c r="R20" s="181"/>
      <c r="S20" s="181"/>
      <c r="T20" s="184"/>
      <c r="U20" s="171"/>
      <c r="V20" s="50"/>
      <c r="W20" s="50"/>
      <c r="Z20" s="171"/>
      <c r="AA20" s="171"/>
      <c r="AB20" s="171"/>
      <c r="AC20" s="171"/>
      <c r="AE20" s="171"/>
      <c r="AF20" s="174"/>
      <c r="AG20" s="177"/>
      <c r="AM20" s="165"/>
      <c r="AR20" s="49"/>
      <c r="BD20" s="33"/>
      <c r="BN20" s="22">
        <f t="shared" si="1"/>
        <v>3050</v>
      </c>
      <c r="BO20" s="46" t="s">
        <v>85</v>
      </c>
      <c r="BT20" s="16" t="s">
        <v>97</v>
      </c>
    </row>
    <row r="21" spans="1:72" s="46" customFormat="1" x14ac:dyDescent="0.25">
      <c r="A21" s="172"/>
      <c r="B21" s="147"/>
      <c r="C21" s="190"/>
      <c r="D21" s="172"/>
      <c r="E21" s="46" t="s">
        <v>105</v>
      </c>
      <c r="F21" s="46" t="s">
        <v>66</v>
      </c>
      <c r="G21" s="179"/>
      <c r="H21" s="46" t="s">
        <v>104</v>
      </c>
      <c r="I21" s="172"/>
      <c r="J21" s="47" t="s">
        <v>90</v>
      </c>
      <c r="K21" s="51"/>
      <c r="L21" s="51"/>
      <c r="M21" s="51"/>
      <c r="O21" s="48">
        <f t="shared" si="4"/>
        <v>3050</v>
      </c>
      <c r="P21" s="48"/>
      <c r="Q21" s="172"/>
      <c r="R21" s="182"/>
      <c r="S21" s="182"/>
      <c r="T21" s="185"/>
      <c r="U21" s="172"/>
      <c r="V21" s="51"/>
      <c r="W21" s="51"/>
      <c r="Z21" s="172"/>
      <c r="AA21" s="172"/>
      <c r="AB21" s="172"/>
      <c r="AC21" s="172"/>
      <c r="AE21" s="172"/>
      <c r="AF21" s="175"/>
      <c r="AG21" s="178"/>
      <c r="AM21" s="166"/>
      <c r="AR21" s="49"/>
      <c r="BD21" s="33"/>
      <c r="BN21" s="22">
        <f t="shared" si="1"/>
        <v>3050</v>
      </c>
      <c r="BO21" s="46" t="s">
        <v>85</v>
      </c>
      <c r="BT21" s="16" t="s">
        <v>97</v>
      </c>
    </row>
    <row r="22" spans="1:72" x14ac:dyDescent="0.25">
      <c r="I22" s="12"/>
      <c r="J22" s="12"/>
      <c r="K22" s="12"/>
      <c r="L22" s="12"/>
      <c r="M22" s="12"/>
    </row>
    <row r="23" spans="1:72" s="52" customFormat="1" ht="30" x14ac:dyDescent="0.25">
      <c r="A23" s="129">
        <v>4</v>
      </c>
      <c r="B23" s="132" t="s">
        <v>48</v>
      </c>
      <c r="C23" s="167" t="str">
        <f>BT23</f>
        <v>D1</v>
      </c>
      <c r="D23" s="52" t="s">
        <v>108</v>
      </c>
      <c r="F23" s="52" t="s">
        <v>1</v>
      </c>
      <c r="H23" s="53" t="s">
        <v>109</v>
      </c>
      <c r="I23" s="54" t="s">
        <v>52</v>
      </c>
      <c r="J23" s="54" t="s">
        <v>81</v>
      </c>
      <c r="K23" s="54"/>
      <c r="L23" s="54"/>
      <c r="M23" s="54"/>
      <c r="O23" s="52">
        <v>4295</v>
      </c>
      <c r="P23" s="52">
        <v>4320</v>
      </c>
      <c r="Q23" s="52">
        <v>4231</v>
      </c>
      <c r="Z23" s="52">
        <v>49.1</v>
      </c>
      <c r="AB23" s="55">
        <v>38</v>
      </c>
      <c r="AG23" s="55"/>
      <c r="AP23" s="52">
        <v>0.66700000000000004</v>
      </c>
      <c r="AQ23" s="52">
        <v>0.26700000000000002</v>
      </c>
      <c r="AR23" s="55">
        <v>554.5</v>
      </c>
      <c r="AS23" s="52" t="s">
        <v>110</v>
      </c>
      <c r="BB23" s="52">
        <v>3133</v>
      </c>
      <c r="BC23" s="52">
        <v>2089</v>
      </c>
      <c r="BD23" s="52">
        <f t="shared" ref="BD23:BD37" si="5">BC23/BB23</f>
        <v>0.6667730609639323</v>
      </c>
      <c r="BG23" s="52">
        <v>1937</v>
      </c>
      <c r="BH23" s="52">
        <v>517</v>
      </c>
      <c r="BI23" s="52">
        <f>BH23/BG23</f>
        <v>0.26690758905524004</v>
      </c>
      <c r="BN23" s="56">
        <f>IF(AND(LEN(O23)&gt;8,Q23&gt;0),Q23,IF(AND(LEN(O23)&gt;8,Q23=0),LEFT(O23,4),ABS(O23)))</f>
        <v>4295</v>
      </c>
      <c r="BO23" s="52" t="s">
        <v>48</v>
      </c>
      <c r="BT23" s="16" t="s">
        <v>111</v>
      </c>
    </row>
    <row r="24" spans="1:72" s="52" customFormat="1" ht="30" x14ac:dyDescent="0.25">
      <c r="A24" s="130"/>
      <c r="B24" s="133"/>
      <c r="C24" s="168"/>
      <c r="F24" s="52" t="s">
        <v>1</v>
      </c>
      <c r="H24" s="53" t="s">
        <v>112</v>
      </c>
      <c r="J24" s="54" t="s">
        <v>81</v>
      </c>
      <c r="O24" s="52">
        <v>4320</v>
      </c>
      <c r="P24" s="52">
        <v>4350</v>
      </c>
      <c r="AB24" s="55"/>
      <c r="AG24" s="55"/>
      <c r="AR24" s="55"/>
      <c r="BB24" s="52">
        <v>2550</v>
      </c>
      <c r="BC24" s="52">
        <v>818</v>
      </c>
      <c r="BD24" s="52">
        <f t="shared" si="5"/>
        <v>0.32078431372549021</v>
      </c>
      <c r="BI24" s="52" t="e">
        <f t="shared" ref="BI24:BI37" si="6">BH24/BG24</f>
        <v>#DIV/0!</v>
      </c>
      <c r="BN24" s="56">
        <f t="shared" ref="BN24:BN37" si="7">IF(AND(LEN(O24)&gt;8,Q24&gt;0),Q24,IF(AND(LEN(O24)&gt;8,Q24=0),LEFT(O24,4),ABS(O24)))</f>
        <v>4320</v>
      </c>
      <c r="BO24" s="52" t="s">
        <v>48</v>
      </c>
      <c r="BT24" s="16" t="s">
        <v>111</v>
      </c>
    </row>
    <row r="25" spans="1:72" s="52" customFormat="1" ht="30" x14ac:dyDescent="0.25">
      <c r="A25" s="130"/>
      <c r="B25" s="133"/>
      <c r="C25" s="168"/>
      <c r="F25" s="52" t="s">
        <v>1</v>
      </c>
      <c r="H25" s="53" t="s">
        <v>113</v>
      </c>
      <c r="I25" s="57"/>
      <c r="J25" s="54" t="s">
        <v>81</v>
      </c>
      <c r="K25" s="57"/>
      <c r="L25" s="57"/>
      <c r="M25" s="57"/>
      <c r="O25" s="52">
        <v>4360</v>
      </c>
      <c r="P25" s="52">
        <v>4390</v>
      </c>
      <c r="AB25" s="55"/>
      <c r="AG25" s="55"/>
      <c r="AR25" s="55"/>
      <c r="BB25" s="52">
        <v>1540</v>
      </c>
      <c r="BC25" s="52">
        <v>495</v>
      </c>
      <c r="BD25" s="52">
        <f t="shared" si="5"/>
        <v>0.32142857142857145</v>
      </c>
      <c r="BI25" s="52" t="e">
        <f t="shared" si="6"/>
        <v>#DIV/0!</v>
      </c>
      <c r="BN25" s="56">
        <f t="shared" si="7"/>
        <v>4360</v>
      </c>
      <c r="BO25" s="52" t="s">
        <v>48</v>
      </c>
      <c r="BT25" s="16" t="s">
        <v>111</v>
      </c>
    </row>
    <row r="26" spans="1:72" s="52" customFormat="1" ht="30" x14ac:dyDescent="0.25">
      <c r="A26" s="130"/>
      <c r="B26" s="133"/>
      <c r="C26" s="168"/>
      <c r="F26" s="52" t="s">
        <v>1</v>
      </c>
      <c r="H26" s="53" t="s">
        <v>114</v>
      </c>
      <c r="I26" s="58"/>
      <c r="J26" s="54" t="s">
        <v>81</v>
      </c>
      <c r="K26" s="58"/>
      <c r="L26" s="58"/>
      <c r="M26" s="58"/>
      <c r="O26" s="52">
        <v>4390</v>
      </c>
      <c r="P26" s="52">
        <v>4412</v>
      </c>
      <c r="AB26" s="55"/>
      <c r="AG26" s="55"/>
      <c r="AR26" s="55"/>
      <c r="BB26" s="52">
        <v>546</v>
      </c>
      <c r="BC26" s="52">
        <v>175</v>
      </c>
      <c r="BD26" s="52">
        <f t="shared" si="5"/>
        <v>0.32051282051282054</v>
      </c>
      <c r="BI26" s="52" t="e">
        <f t="shared" si="6"/>
        <v>#DIV/0!</v>
      </c>
      <c r="BN26" s="56">
        <f t="shared" si="7"/>
        <v>4390</v>
      </c>
      <c r="BO26" s="52" t="s">
        <v>48</v>
      </c>
      <c r="BT26" s="16" t="s">
        <v>111</v>
      </c>
    </row>
    <row r="27" spans="1:72" s="52" customFormat="1" ht="30" x14ac:dyDescent="0.25">
      <c r="A27" s="130"/>
      <c r="B27" s="133"/>
      <c r="C27" s="168"/>
      <c r="F27" s="52" t="s">
        <v>1</v>
      </c>
      <c r="H27" s="53" t="s">
        <v>115</v>
      </c>
      <c r="I27" s="129" t="s">
        <v>59</v>
      </c>
      <c r="J27" s="54" t="s">
        <v>81</v>
      </c>
      <c r="K27" s="59"/>
      <c r="L27" s="59"/>
      <c r="M27" s="59"/>
      <c r="O27" s="52">
        <v>4334</v>
      </c>
      <c r="P27" s="52">
        <v>4374</v>
      </c>
      <c r="AB27" s="55"/>
      <c r="AG27" s="55"/>
      <c r="AR27" s="55"/>
      <c r="BB27" s="52">
        <v>3367</v>
      </c>
      <c r="BC27" s="52">
        <v>1226</v>
      </c>
      <c r="BD27" s="52">
        <f t="shared" si="5"/>
        <v>0.36412236412236409</v>
      </c>
      <c r="BG27" s="52">
        <v>2082</v>
      </c>
      <c r="BH27" s="52">
        <v>373</v>
      </c>
      <c r="BI27" s="52">
        <f t="shared" si="6"/>
        <v>0.17915465898174832</v>
      </c>
      <c r="BN27" s="56">
        <f t="shared" si="7"/>
        <v>4334</v>
      </c>
      <c r="BO27" s="52" t="s">
        <v>48</v>
      </c>
      <c r="BT27" s="16" t="s">
        <v>111</v>
      </c>
    </row>
    <row r="28" spans="1:72" s="52" customFormat="1" ht="30" x14ac:dyDescent="0.25">
      <c r="A28" s="130"/>
      <c r="B28" s="133"/>
      <c r="C28" s="168"/>
      <c r="F28" s="52" t="s">
        <v>1</v>
      </c>
      <c r="H28" s="53" t="s">
        <v>116</v>
      </c>
      <c r="I28" s="131"/>
      <c r="J28" s="54" t="s">
        <v>81</v>
      </c>
      <c r="K28" s="60"/>
      <c r="L28" s="60"/>
      <c r="M28" s="60"/>
      <c r="O28" s="52">
        <v>4385</v>
      </c>
      <c r="P28" s="52">
        <v>4395</v>
      </c>
      <c r="AB28" s="55"/>
      <c r="AG28" s="55"/>
      <c r="AR28" s="55"/>
      <c r="BB28" s="52">
        <v>341</v>
      </c>
      <c r="BC28" s="52">
        <v>110</v>
      </c>
      <c r="BD28" s="52">
        <f t="shared" si="5"/>
        <v>0.32258064516129031</v>
      </c>
      <c r="BI28" s="52" t="e">
        <f t="shared" si="6"/>
        <v>#DIV/0!</v>
      </c>
      <c r="BN28" s="56">
        <f t="shared" si="7"/>
        <v>4385</v>
      </c>
      <c r="BO28" s="52" t="s">
        <v>48</v>
      </c>
      <c r="BT28" s="16" t="s">
        <v>111</v>
      </c>
    </row>
    <row r="29" spans="1:72" s="52" customFormat="1" ht="45.75" customHeight="1" x14ac:dyDescent="0.25">
      <c r="A29" s="130"/>
      <c r="B29" s="133"/>
      <c r="C29" s="168"/>
      <c r="F29" s="52" t="s">
        <v>1</v>
      </c>
      <c r="H29" s="61" t="s">
        <v>117</v>
      </c>
      <c r="J29" s="52" t="s">
        <v>77</v>
      </c>
      <c r="O29" s="52">
        <v>4912</v>
      </c>
      <c r="P29" s="52">
        <v>4917</v>
      </c>
      <c r="Q29" s="52">
        <v>4292</v>
      </c>
      <c r="R29" s="52">
        <v>777.9</v>
      </c>
      <c r="Z29" s="52">
        <v>54.5</v>
      </c>
      <c r="AA29" s="52">
        <v>100.5</v>
      </c>
      <c r="AB29" s="55">
        <v>31.56</v>
      </c>
      <c r="AC29" s="52">
        <v>0.87</v>
      </c>
      <c r="AE29" s="52">
        <v>0.09</v>
      </c>
      <c r="AF29" s="52">
        <v>3.67</v>
      </c>
      <c r="AG29" s="55">
        <v>5.3</v>
      </c>
      <c r="AH29" s="52">
        <v>7.0000000000000007E-2</v>
      </c>
      <c r="AI29" s="52">
        <v>4.2</v>
      </c>
      <c r="AP29" s="52">
        <v>0.72699999999999998</v>
      </c>
      <c r="AQ29" s="52">
        <v>0.49299999999999999</v>
      </c>
      <c r="AR29" s="55">
        <v>675.2</v>
      </c>
      <c r="AS29" s="53" t="s">
        <v>118</v>
      </c>
      <c r="BB29" s="52">
        <v>1134</v>
      </c>
      <c r="BC29" s="52">
        <v>862</v>
      </c>
      <c r="BD29" s="52">
        <f t="shared" si="5"/>
        <v>0.76014109347442682</v>
      </c>
      <c r="BE29" s="62">
        <f>AVERAGE(BD29:BD36)</f>
        <v>0.73164937012271036</v>
      </c>
      <c r="BG29" s="52">
        <v>866</v>
      </c>
      <c r="BH29" s="52">
        <v>446</v>
      </c>
      <c r="BI29" s="52">
        <f t="shared" si="6"/>
        <v>0.51501154734411081</v>
      </c>
      <c r="BJ29" s="52">
        <f>AVERAGE(BI29:BI36)</f>
        <v>0.36930533064356813</v>
      </c>
      <c r="BN29" s="56">
        <f t="shared" si="7"/>
        <v>4912</v>
      </c>
      <c r="BO29" s="52" t="s">
        <v>48</v>
      </c>
      <c r="BT29" s="16" t="s">
        <v>111</v>
      </c>
    </row>
    <row r="30" spans="1:72" s="52" customFormat="1" ht="30" x14ac:dyDescent="0.25">
      <c r="A30" s="130"/>
      <c r="B30" s="133"/>
      <c r="C30" s="168"/>
      <c r="F30" s="52" t="s">
        <v>1</v>
      </c>
      <c r="H30" s="61" t="s">
        <v>119</v>
      </c>
      <c r="J30" s="52" t="s">
        <v>77</v>
      </c>
      <c r="O30" s="52">
        <v>5040</v>
      </c>
      <c r="P30" s="52">
        <v>5046</v>
      </c>
      <c r="Q30" s="52">
        <v>4848</v>
      </c>
      <c r="Z30" s="52">
        <v>53.8</v>
      </c>
      <c r="AB30" s="55">
        <v>50.7</v>
      </c>
      <c r="AG30" s="55"/>
      <c r="AH30" s="52">
        <v>7.0000000000000007E-2</v>
      </c>
      <c r="AP30" s="52">
        <v>0.76</v>
      </c>
      <c r="AQ30" s="52">
        <v>0.51500000000000001</v>
      </c>
      <c r="AR30" s="55">
        <v>795.7</v>
      </c>
      <c r="AS30" s="52" t="s">
        <v>120</v>
      </c>
      <c r="BB30" s="52">
        <v>975</v>
      </c>
      <c r="BC30" s="12">
        <v>741</v>
      </c>
      <c r="BD30" s="52">
        <f t="shared" si="5"/>
        <v>0.76</v>
      </c>
      <c r="BG30" s="52">
        <v>887</v>
      </c>
      <c r="BH30" s="52">
        <v>457</v>
      </c>
      <c r="BI30" s="52">
        <f t="shared" si="6"/>
        <v>0.51521984216459982</v>
      </c>
      <c r="BN30" s="56">
        <f t="shared" si="7"/>
        <v>5040</v>
      </c>
      <c r="BO30" s="52" t="s">
        <v>48</v>
      </c>
      <c r="BT30" s="16" t="s">
        <v>111</v>
      </c>
    </row>
    <row r="31" spans="1:72" s="52" customFormat="1" ht="30" x14ac:dyDescent="0.25">
      <c r="A31" s="130"/>
      <c r="B31" s="133"/>
      <c r="C31" s="168"/>
      <c r="F31" s="52" t="s">
        <v>1</v>
      </c>
      <c r="H31" s="61" t="s">
        <v>121</v>
      </c>
      <c r="I31" s="52" t="s">
        <v>69</v>
      </c>
      <c r="J31" s="52" t="s">
        <v>77</v>
      </c>
      <c r="O31" s="52">
        <v>4864</v>
      </c>
      <c r="P31" s="52">
        <v>4960</v>
      </c>
      <c r="AB31" s="55"/>
      <c r="AG31" s="55"/>
      <c r="AP31" s="52">
        <v>0.77800000000000002</v>
      </c>
      <c r="AQ31" s="52">
        <v>0.35399999999999998</v>
      </c>
      <c r="AR31" s="55">
        <v>260</v>
      </c>
      <c r="AS31" s="52" t="s">
        <v>110</v>
      </c>
      <c r="BB31" s="52">
        <v>3361</v>
      </c>
      <c r="BC31" s="52">
        <v>2615</v>
      </c>
      <c r="BD31" s="52">
        <f t="shared" si="5"/>
        <v>0.77804224933055643</v>
      </c>
      <c r="BG31" s="52">
        <v>913</v>
      </c>
      <c r="BH31" s="52">
        <v>324</v>
      </c>
      <c r="BI31" s="52">
        <f t="shared" si="6"/>
        <v>0.35487404162102959</v>
      </c>
      <c r="BN31" s="56">
        <f t="shared" si="7"/>
        <v>4864</v>
      </c>
      <c r="BO31" s="52" t="s">
        <v>48</v>
      </c>
      <c r="BT31" s="16" t="s">
        <v>111</v>
      </c>
    </row>
    <row r="32" spans="1:72" s="52" customFormat="1" ht="30" x14ac:dyDescent="0.25">
      <c r="A32" s="130"/>
      <c r="B32" s="133"/>
      <c r="C32" s="168"/>
      <c r="F32" s="52" t="s">
        <v>1</v>
      </c>
      <c r="H32" s="61" t="s">
        <v>122</v>
      </c>
      <c r="J32" s="52" t="s">
        <v>77</v>
      </c>
      <c r="O32" s="52">
        <v>5010</v>
      </c>
      <c r="P32" s="52">
        <v>5086</v>
      </c>
      <c r="AB32" s="55"/>
      <c r="AG32" s="55"/>
      <c r="AR32" s="55"/>
      <c r="BB32" s="52">
        <v>656</v>
      </c>
      <c r="BC32" s="52">
        <v>582</v>
      </c>
      <c r="BD32" s="52">
        <f t="shared" si="5"/>
        <v>0.88719512195121952</v>
      </c>
      <c r="BG32" s="52">
        <v>532</v>
      </c>
      <c r="BH32" s="52">
        <v>118</v>
      </c>
      <c r="BI32" s="52">
        <f t="shared" si="6"/>
        <v>0.22180451127819548</v>
      </c>
      <c r="BN32" s="56">
        <f t="shared" si="7"/>
        <v>5010</v>
      </c>
      <c r="BO32" s="52" t="s">
        <v>48</v>
      </c>
      <c r="BT32" s="16" t="s">
        <v>111</v>
      </c>
    </row>
    <row r="33" spans="1:72" s="52" customFormat="1" ht="30" x14ac:dyDescent="0.25">
      <c r="A33" s="130"/>
      <c r="B33" s="133"/>
      <c r="C33" s="168"/>
      <c r="F33" s="52" t="s">
        <v>1</v>
      </c>
      <c r="H33" s="61" t="s">
        <v>123</v>
      </c>
      <c r="I33" s="129" t="s">
        <v>124</v>
      </c>
      <c r="J33" s="52" t="s">
        <v>77</v>
      </c>
      <c r="K33" s="59"/>
      <c r="L33" s="59"/>
      <c r="M33" s="59"/>
      <c r="O33" s="52">
        <v>4834</v>
      </c>
      <c r="P33" s="52">
        <v>5110</v>
      </c>
      <c r="AB33" s="55"/>
      <c r="AG33" s="55"/>
      <c r="AR33" s="55"/>
      <c r="BB33" s="52">
        <v>5936</v>
      </c>
      <c r="BC33" s="52">
        <v>3959</v>
      </c>
      <c r="BD33" s="52">
        <f t="shared" si="5"/>
        <v>0.66694743935309975</v>
      </c>
      <c r="BG33" s="52">
        <v>3522</v>
      </c>
      <c r="BH33" s="52">
        <v>1185</v>
      </c>
      <c r="BI33" s="52">
        <f t="shared" si="6"/>
        <v>0.33645655877342417</v>
      </c>
      <c r="BN33" s="56">
        <f t="shared" si="7"/>
        <v>4834</v>
      </c>
      <c r="BO33" s="52" t="s">
        <v>48</v>
      </c>
      <c r="BT33" s="16" t="s">
        <v>111</v>
      </c>
    </row>
    <row r="34" spans="1:72" s="52" customFormat="1" ht="30" x14ac:dyDescent="0.25">
      <c r="A34" s="130"/>
      <c r="B34" s="133"/>
      <c r="C34" s="168"/>
      <c r="F34" s="52" t="s">
        <v>1</v>
      </c>
      <c r="H34" s="61" t="s">
        <v>125</v>
      </c>
      <c r="I34" s="130"/>
      <c r="J34" s="52" t="s">
        <v>77</v>
      </c>
      <c r="K34" s="63"/>
      <c r="L34" s="63"/>
      <c r="M34" s="63"/>
      <c r="O34" s="52">
        <v>5076</v>
      </c>
      <c r="P34" s="52">
        <v>5090</v>
      </c>
      <c r="AB34" s="55"/>
      <c r="AG34" s="55"/>
      <c r="AP34" s="52">
        <v>0.66700000000000004</v>
      </c>
      <c r="AQ34" s="52">
        <v>0.33700000000000002</v>
      </c>
      <c r="AR34" s="55">
        <v>539.1</v>
      </c>
      <c r="AS34" s="52" t="s">
        <v>110</v>
      </c>
      <c r="BB34" s="52">
        <v>3621</v>
      </c>
      <c r="BC34" s="52">
        <v>2415</v>
      </c>
      <c r="BD34" s="52">
        <f t="shared" si="5"/>
        <v>0.6669428334714167</v>
      </c>
      <c r="BG34" s="52">
        <v>2148</v>
      </c>
      <c r="BH34" s="52">
        <v>724</v>
      </c>
      <c r="BI34" s="52">
        <f t="shared" si="6"/>
        <v>0.33705772811918061</v>
      </c>
      <c r="BN34" s="56">
        <f t="shared" si="7"/>
        <v>5076</v>
      </c>
      <c r="BO34" s="52" t="s">
        <v>48</v>
      </c>
      <c r="BT34" s="16" t="s">
        <v>111</v>
      </c>
    </row>
    <row r="35" spans="1:72" s="52" customFormat="1" ht="30" x14ac:dyDescent="0.25">
      <c r="A35" s="130"/>
      <c r="B35" s="133"/>
      <c r="C35" s="168"/>
      <c r="F35" s="52" t="s">
        <v>1</v>
      </c>
      <c r="H35" s="61" t="s">
        <v>126</v>
      </c>
      <c r="I35" s="130"/>
      <c r="J35" s="52" t="s">
        <v>77</v>
      </c>
      <c r="K35" s="63"/>
      <c r="L35" s="63"/>
      <c r="M35" s="63"/>
      <c r="O35" s="52">
        <v>4975</v>
      </c>
      <c r="P35" s="52">
        <v>5320</v>
      </c>
      <c r="AB35" s="55"/>
      <c r="AG35" s="55"/>
      <c r="AR35" s="55"/>
      <c r="BB35" s="52">
        <v>11303</v>
      </c>
      <c r="BC35" s="52">
        <v>7539</v>
      </c>
      <c r="BD35" s="52">
        <f t="shared" si="5"/>
        <v>0.66699106431920729</v>
      </c>
      <c r="BG35" s="52">
        <v>6705</v>
      </c>
      <c r="BH35" s="52">
        <v>2260</v>
      </c>
      <c r="BI35" s="52">
        <f t="shared" si="6"/>
        <v>0.33706189410887399</v>
      </c>
      <c r="BN35" s="56">
        <f t="shared" si="7"/>
        <v>4975</v>
      </c>
      <c r="BO35" s="52" t="s">
        <v>48</v>
      </c>
      <c r="BT35" s="16" t="s">
        <v>111</v>
      </c>
    </row>
    <row r="36" spans="1:72" s="52" customFormat="1" ht="30" x14ac:dyDescent="0.25">
      <c r="A36" s="130"/>
      <c r="B36" s="133"/>
      <c r="C36" s="168"/>
      <c r="F36" s="52" t="s">
        <v>1</v>
      </c>
      <c r="H36" s="61" t="s">
        <v>127</v>
      </c>
      <c r="I36" s="131"/>
      <c r="J36" s="52" t="s">
        <v>77</v>
      </c>
      <c r="K36" s="60"/>
      <c r="L36" s="60"/>
      <c r="M36" s="60"/>
      <c r="O36" s="52">
        <v>5185</v>
      </c>
      <c r="P36" s="52">
        <v>5210</v>
      </c>
      <c r="AB36" s="55"/>
      <c r="AG36" s="55"/>
      <c r="AP36" s="52">
        <v>0.66700000000000004</v>
      </c>
      <c r="AQ36" s="52">
        <v>0.33700000000000002</v>
      </c>
      <c r="AR36" s="55">
        <v>539.1</v>
      </c>
      <c r="AS36" s="52" t="s">
        <v>110</v>
      </c>
      <c r="BB36" s="52">
        <v>2483</v>
      </c>
      <c r="BC36" s="52">
        <v>1656</v>
      </c>
      <c r="BD36" s="52">
        <f t="shared" si="5"/>
        <v>0.66693515908175593</v>
      </c>
      <c r="BG36" s="52">
        <v>1472</v>
      </c>
      <c r="BH36" s="52">
        <v>496</v>
      </c>
      <c r="BI36" s="52">
        <f t="shared" si="6"/>
        <v>0.33695652173913043</v>
      </c>
      <c r="BN36" s="56">
        <f t="shared" si="7"/>
        <v>5185</v>
      </c>
      <c r="BO36" s="52" t="s">
        <v>48</v>
      </c>
      <c r="BT36" s="16" t="s">
        <v>111</v>
      </c>
    </row>
    <row r="37" spans="1:72" s="52" customFormat="1" ht="30" x14ac:dyDescent="0.25">
      <c r="A37" s="131"/>
      <c r="B37" s="134"/>
      <c r="C37" s="169"/>
      <c r="F37" s="52" t="s">
        <v>1</v>
      </c>
      <c r="H37" s="53" t="s">
        <v>128</v>
      </c>
      <c r="J37" s="52" t="s">
        <v>70</v>
      </c>
      <c r="O37" s="52">
        <v>4520</v>
      </c>
      <c r="P37" s="52">
        <v>4527</v>
      </c>
      <c r="Z37" s="52">
        <v>56.7</v>
      </c>
      <c r="AB37" s="55">
        <v>38.5</v>
      </c>
      <c r="AG37" s="55"/>
      <c r="AP37" s="52">
        <v>0.8</v>
      </c>
      <c r="AQ37" s="52">
        <v>0.40500000000000003</v>
      </c>
      <c r="AR37" s="55">
        <v>260</v>
      </c>
      <c r="AS37" s="52" t="s">
        <v>110</v>
      </c>
      <c r="BB37" s="52">
        <v>227</v>
      </c>
      <c r="BC37" s="52">
        <v>182</v>
      </c>
      <c r="BD37" s="52">
        <f t="shared" si="5"/>
        <v>0.80176211453744495</v>
      </c>
      <c r="BG37" s="52">
        <v>67</v>
      </c>
      <c r="BH37" s="12">
        <v>27</v>
      </c>
      <c r="BI37" s="52">
        <f t="shared" si="6"/>
        <v>0.40298507462686567</v>
      </c>
      <c r="BN37" s="56">
        <f t="shared" si="7"/>
        <v>4520</v>
      </c>
      <c r="BO37" s="52" t="s">
        <v>48</v>
      </c>
      <c r="BT37" s="16" t="s">
        <v>111</v>
      </c>
    </row>
    <row r="40" spans="1:72" s="64" customFormat="1" ht="15" customHeight="1" x14ac:dyDescent="0.25">
      <c r="A40" s="156">
        <v>5</v>
      </c>
      <c r="B40" s="160" t="s">
        <v>85</v>
      </c>
      <c r="C40" s="163" t="str">
        <f>BT40</f>
        <v>E1</v>
      </c>
      <c r="D40" s="64" t="s">
        <v>129</v>
      </c>
      <c r="F40" s="64" t="s">
        <v>66</v>
      </c>
      <c r="G40" s="64" t="s">
        <v>130</v>
      </c>
      <c r="H40" s="65" t="s">
        <v>131</v>
      </c>
      <c r="I40" s="156" t="s">
        <v>52</v>
      </c>
      <c r="J40" s="66" t="s">
        <v>132</v>
      </c>
      <c r="K40" s="66"/>
      <c r="L40" s="66"/>
      <c r="M40" s="66"/>
      <c r="N40" s="155" t="s">
        <v>133</v>
      </c>
      <c r="O40" s="67">
        <v>1850</v>
      </c>
      <c r="P40" s="67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5">
        <v>0.70399999999999996</v>
      </c>
      <c r="AF40" s="65">
        <v>9.6</v>
      </c>
      <c r="AG40" s="65">
        <v>12.2</v>
      </c>
      <c r="AH40" s="65"/>
      <c r="AI40" s="65"/>
      <c r="AJ40" s="69" t="s">
        <v>134</v>
      </c>
      <c r="AK40" s="69" t="s">
        <v>135</v>
      </c>
      <c r="AL40" s="69"/>
      <c r="AM40" s="69"/>
      <c r="AN40" s="69" t="s">
        <v>136</v>
      </c>
      <c r="AO40" s="156">
        <v>0.40600000000000003</v>
      </c>
      <c r="AP40" s="69"/>
      <c r="AQ40" s="69"/>
      <c r="AR40" s="70"/>
      <c r="AS40" s="155" t="s">
        <v>269</v>
      </c>
      <c r="AT40" s="155"/>
      <c r="AU40" s="155"/>
      <c r="AV40" s="155"/>
      <c r="AW40" s="155"/>
      <c r="AX40" s="155"/>
      <c r="AY40" s="155"/>
      <c r="AZ40" s="155"/>
      <c r="BA40" s="155"/>
      <c r="BN40" s="22">
        <f t="shared" ref="BN40:BN50" si="8">IF(AND(LEN(O40)&gt;8,Q40&gt;0),Q40,IF(AND(LEN(O40)&gt;8,Q40=0),LEFT(O40,4),ABS(O40)))</f>
        <v>1850</v>
      </c>
      <c r="BO40" s="64" t="s">
        <v>85</v>
      </c>
      <c r="BT40" s="16" t="s">
        <v>137</v>
      </c>
    </row>
    <row r="41" spans="1:72" s="64" customFormat="1" ht="15" customHeight="1" x14ac:dyDescent="0.25">
      <c r="A41" s="156"/>
      <c r="B41" s="161"/>
      <c r="C41" s="163"/>
      <c r="F41" s="64" t="s">
        <v>66</v>
      </c>
      <c r="G41" s="64" t="s">
        <v>130</v>
      </c>
      <c r="H41" s="65" t="s">
        <v>138</v>
      </c>
      <c r="I41" s="156"/>
      <c r="J41" s="66" t="s">
        <v>132</v>
      </c>
      <c r="K41" s="66"/>
      <c r="L41" s="66"/>
      <c r="M41" s="66"/>
      <c r="N41" s="155"/>
      <c r="O41" s="71">
        <f>O40</f>
        <v>1850</v>
      </c>
      <c r="P41" s="71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5">
        <v>0.69599999999999995</v>
      </c>
      <c r="AF41" s="65">
        <v>9.3000000000000007</v>
      </c>
      <c r="AG41" s="65">
        <v>10.9</v>
      </c>
      <c r="AH41" s="65"/>
      <c r="AI41" s="65"/>
      <c r="AJ41" s="65"/>
      <c r="AK41" s="65"/>
      <c r="AL41" s="65"/>
      <c r="AM41" s="65"/>
      <c r="AN41" s="65" t="s">
        <v>139</v>
      </c>
      <c r="AO41" s="156"/>
      <c r="AP41" s="65"/>
      <c r="AQ41" s="65"/>
      <c r="AR41" s="65"/>
      <c r="AS41" s="155"/>
      <c r="AT41" s="155"/>
      <c r="AU41" s="155"/>
      <c r="AV41" s="155"/>
      <c r="AW41" s="155"/>
      <c r="AX41" s="155"/>
      <c r="AY41" s="155"/>
      <c r="AZ41" s="155"/>
      <c r="BA41" s="155"/>
      <c r="BN41" s="22">
        <f t="shared" si="8"/>
        <v>1850</v>
      </c>
      <c r="BO41" s="64" t="s">
        <v>85</v>
      </c>
      <c r="BT41" s="16" t="s">
        <v>137</v>
      </c>
    </row>
    <row r="42" spans="1:72" s="64" customFormat="1" ht="15" customHeight="1" x14ac:dyDescent="0.25">
      <c r="A42" s="156"/>
      <c r="B42" s="161"/>
      <c r="C42" s="163"/>
      <c r="F42" s="64" t="s">
        <v>66</v>
      </c>
      <c r="G42" s="64" t="s">
        <v>140</v>
      </c>
      <c r="H42" s="65" t="s">
        <v>141</v>
      </c>
      <c r="I42" s="156" t="s">
        <v>59</v>
      </c>
      <c r="J42" s="66" t="s">
        <v>142</v>
      </c>
      <c r="K42" s="66"/>
      <c r="L42" s="66"/>
      <c r="M42" s="66"/>
      <c r="N42" s="155"/>
      <c r="O42" s="67">
        <v>1875</v>
      </c>
      <c r="P42" s="67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5">
        <v>0.40699999999999997</v>
      </c>
      <c r="AF42" s="65">
        <v>2.7</v>
      </c>
      <c r="AG42" s="65">
        <v>3.6</v>
      </c>
      <c r="AH42" s="65"/>
      <c r="AI42" s="65"/>
      <c r="AJ42" s="65"/>
      <c r="AK42" s="65"/>
      <c r="AL42" s="65"/>
      <c r="AM42" s="65"/>
      <c r="AN42" s="65"/>
      <c r="AO42" s="156">
        <v>0.36</v>
      </c>
      <c r="AP42" s="65"/>
      <c r="AQ42" s="65"/>
      <c r="AR42" s="65"/>
      <c r="AS42" s="155"/>
      <c r="AT42" s="155"/>
      <c r="AU42" s="155"/>
      <c r="AV42" s="155"/>
      <c r="AW42" s="155"/>
      <c r="AX42" s="155"/>
      <c r="AY42" s="155"/>
      <c r="AZ42" s="155"/>
      <c r="BA42" s="155"/>
      <c r="BN42" s="22">
        <f t="shared" si="8"/>
        <v>1875</v>
      </c>
      <c r="BO42" s="64" t="s">
        <v>85</v>
      </c>
      <c r="BT42" s="16" t="s">
        <v>137</v>
      </c>
    </row>
    <row r="43" spans="1:72" s="64" customFormat="1" ht="15" customHeight="1" x14ac:dyDescent="0.25">
      <c r="A43" s="156"/>
      <c r="B43" s="161"/>
      <c r="C43" s="163"/>
      <c r="F43" s="64" t="s">
        <v>66</v>
      </c>
      <c r="G43" s="64" t="s">
        <v>140</v>
      </c>
      <c r="H43" s="65" t="s">
        <v>143</v>
      </c>
      <c r="I43" s="156"/>
      <c r="J43" s="66" t="s">
        <v>142</v>
      </c>
      <c r="K43" s="66"/>
      <c r="L43" s="66"/>
      <c r="M43" s="66"/>
      <c r="N43" s="155"/>
      <c r="O43" s="72">
        <f>O42</f>
        <v>1875</v>
      </c>
      <c r="P43" s="72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5">
        <v>0.316</v>
      </c>
      <c r="AF43" s="65">
        <v>11.8</v>
      </c>
      <c r="AG43" s="65">
        <v>7.9</v>
      </c>
      <c r="AH43" s="65"/>
      <c r="AI43" s="65"/>
      <c r="AJ43" s="65"/>
      <c r="AK43" s="65"/>
      <c r="AL43" s="65"/>
      <c r="AM43" s="65"/>
      <c r="AN43" s="65"/>
      <c r="AO43" s="156"/>
      <c r="AP43" s="65"/>
      <c r="AQ43" s="65"/>
      <c r="AR43" s="65"/>
      <c r="AS43" s="155"/>
      <c r="AT43" s="155"/>
      <c r="AU43" s="155"/>
      <c r="AV43" s="155"/>
      <c r="AW43" s="155"/>
      <c r="AX43" s="155"/>
      <c r="AY43" s="155"/>
      <c r="AZ43" s="155"/>
      <c r="BA43" s="155"/>
      <c r="BN43" s="22">
        <f t="shared" si="8"/>
        <v>1875</v>
      </c>
      <c r="BO43" s="64" t="s">
        <v>85</v>
      </c>
      <c r="BT43" s="16" t="s">
        <v>137</v>
      </c>
    </row>
    <row r="44" spans="1:72" s="64" customFormat="1" ht="15" customHeight="1" x14ac:dyDescent="0.25">
      <c r="A44" s="156"/>
      <c r="B44" s="161"/>
      <c r="C44" s="163"/>
      <c r="F44" s="64" t="s">
        <v>66</v>
      </c>
      <c r="G44" s="64" t="s">
        <v>140</v>
      </c>
      <c r="H44" s="65" t="s">
        <v>144</v>
      </c>
      <c r="I44" s="156"/>
      <c r="J44" s="66" t="s">
        <v>142</v>
      </c>
      <c r="K44" s="66"/>
      <c r="L44" s="66"/>
      <c r="M44" s="66"/>
      <c r="N44" s="155"/>
      <c r="O44" s="72">
        <f t="shared" ref="O44:O46" si="9">O43</f>
        <v>1875</v>
      </c>
      <c r="P44" s="72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5">
        <v>0.495</v>
      </c>
      <c r="AF44" s="65">
        <v>8.5</v>
      </c>
      <c r="AG44" s="65">
        <v>16.2</v>
      </c>
      <c r="AH44" s="65"/>
      <c r="AI44" s="65"/>
      <c r="AJ44" s="65"/>
      <c r="AK44" s="65"/>
      <c r="AL44" s="65"/>
      <c r="AM44" s="65"/>
      <c r="AN44" s="65"/>
      <c r="AO44" s="156"/>
      <c r="AP44" s="65"/>
      <c r="AQ44" s="65"/>
      <c r="AR44" s="65"/>
      <c r="AS44" s="155"/>
      <c r="AT44" s="155"/>
      <c r="AU44" s="155"/>
      <c r="AV44" s="155"/>
      <c r="AW44" s="155"/>
      <c r="AX44" s="155"/>
      <c r="AY44" s="155"/>
      <c r="AZ44" s="155"/>
      <c r="BA44" s="155"/>
      <c r="BN44" s="22">
        <f t="shared" si="8"/>
        <v>1875</v>
      </c>
      <c r="BO44" s="64" t="s">
        <v>85</v>
      </c>
      <c r="BT44" s="16" t="s">
        <v>137</v>
      </c>
    </row>
    <row r="45" spans="1:72" s="64" customFormat="1" ht="15" customHeight="1" x14ac:dyDescent="0.25">
      <c r="A45" s="156"/>
      <c r="B45" s="161"/>
      <c r="C45" s="163"/>
      <c r="F45" s="64" t="s">
        <v>66</v>
      </c>
      <c r="G45" s="64" t="s">
        <v>140</v>
      </c>
      <c r="H45" s="65" t="s">
        <v>145</v>
      </c>
      <c r="I45" s="156"/>
      <c r="J45" s="66" t="s">
        <v>142</v>
      </c>
      <c r="K45" s="66"/>
      <c r="L45" s="66"/>
      <c r="M45" s="66"/>
      <c r="N45" s="155"/>
      <c r="O45" s="72">
        <f t="shared" si="9"/>
        <v>1875</v>
      </c>
      <c r="P45" s="72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5">
        <v>0.51100000000000001</v>
      </c>
      <c r="AF45" s="65">
        <v>9.8000000000000007</v>
      </c>
      <c r="AG45" s="65">
        <v>13.7</v>
      </c>
      <c r="AH45" s="65"/>
      <c r="AI45" s="65"/>
      <c r="AJ45" s="65"/>
      <c r="AK45" s="65"/>
      <c r="AL45" s="65"/>
      <c r="AM45" s="65"/>
      <c r="AN45" s="65"/>
      <c r="AO45" s="156"/>
      <c r="AP45" s="65"/>
      <c r="AQ45" s="65"/>
      <c r="AR45" s="65"/>
      <c r="AS45" s="155"/>
      <c r="AT45" s="155"/>
      <c r="AU45" s="155"/>
      <c r="AV45" s="155"/>
      <c r="AW45" s="155"/>
      <c r="AX45" s="155"/>
      <c r="AY45" s="155"/>
      <c r="AZ45" s="155"/>
      <c r="BA45" s="155"/>
      <c r="BN45" s="22">
        <f t="shared" si="8"/>
        <v>1875</v>
      </c>
      <c r="BO45" s="64" t="s">
        <v>85</v>
      </c>
      <c r="BT45" s="16" t="s">
        <v>137</v>
      </c>
    </row>
    <row r="46" spans="1:72" s="64" customFormat="1" ht="15" customHeight="1" x14ac:dyDescent="0.25">
      <c r="A46" s="156"/>
      <c r="B46" s="161"/>
      <c r="C46" s="163"/>
      <c r="F46" s="64" t="s">
        <v>66</v>
      </c>
      <c r="G46" s="64" t="s">
        <v>140</v>
      </c>
      <c r="H46" s="65" t="s">
        <v>146</v>
      </c>
      <c r="I46" s="156"/>
      <c r="J46" s="66" t="s">
        <v>142</v>
      </c>
      <c r="K46" s="66"/>
      <c r="L46" s="66"/>
      <c r="M46" s="66"/>
      <c r="N46" s="155"/>
      <c r="O46" s="72">
        <f t="shared" si="9"/>
        <v>1875</v>
      </c>
      <c r="P46" s="72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5">
        <v>0.19400000000000001</v>
      </c>
      <c r="AF46" s="65">
        <v>4</v>
      </c>
      <c r="AG46" s="65">
        <v>11</v>
      </c>
      <c r="AH46" s="65"/>
      <c r="AI46" s="65"/>
      <c r="AJ46" s="65"/>
      <c r="AK46" s="65"/>
      <c r="AL46" s="65"/>
      <c r="AM46" s="65"/>
      <c r="AN46" s="65"/>
      <c r="AO46" s="156"/>
      <c r="AP46" s="65"/>
      <c r="AQ46" s="65"/>
      <c r="AR46" s="65"/>
      <c r="AS46" s="155"/>
      <c r="AT46" s="155"/>
      <c r="AU46" s="155"/>
      <c r="AV46" s="155"/>
      <c r="AW46" s="155"/>
      <c r="AX46" s="155"/>
      <c r="AY46" s="155"/>
      <c r="AZ46" s="155"/>
      <c r="BA46" s="155"/>
      <c r="BN46" s="22">
        <f t="shared" si="8"/>
        <v>1875</v>
      </c>
      <c r="BO46" s="64" t="s">
        <v>85</v>
      </c>
      <c r="BT46" s="16" t="s">
        <v>137</v>
      </c>
    </row>
    <row r="47" spans="1:72" s="64" customFormat="1" ht="15" customHeight="1" x14ac:dyDescent="0.25">
      <c r="A47" s="156"/>
      <c r="B47" s="161"/>
      <c r="C47" s="163"/>
      <c r="F47" s="64" t="s">
        <v>66</v>
      </c>
      <c r="G47" s="64" t="s">
        <v>140</v>
      </c>
      <c r="H47" s="65" t="s">
        <v>147</v>
      </c>
      <c r="I47" s="156" t="s">
        <v>69</v>
      </c>
      <c r="J47" s="66" t="s">
        <v>142</v>
      </c>
      <c r="K47" s="66"/>
      <c r="L47" s="66"/>
      <c r="M47" s="66"/>
      <c r="N47" s="155"/>
      <c r="O47" s="67">
        <v>2500</v>
      </c>
      <c r="P47" s="67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5">
        <v>0.108</v>
      </c>
      <c r="AF47" s="65">
        <v>3</v>
      </c>
      <c r="AG47" s="65">
        <v>3</v>
      </c>
      <c r="AH47" s="65"/>
      <c r="AI47" s="65"/>
      <c r="AJ47" s="65"/>
      <c r="AK47" s="65"/>
      <c r="AL47" s="65"/>
      <c r="AM47" s="65"/>
      <c r="AN47" s="65"/>
      <c r="AO47" s="156">
        <v>0.3</v>
      </c>
      <c r="AP47" s="65"/>
      <c r="AQ47" s="65"/>
      <c r="AR47" s="65"/>
      <c r="AS47" s="155"/>
      <c r="AT47" s="155"/>
      <c r="AU47" s="155"/>
      <c r="AV47" s="155"/>
      <c r="AW47" s="155"/>
      <c r="AX47" s="155"/>
      <c r="AY47" s="155"/>
      <c r="AZ47" s="155"/>
      <c r="BA47" s="155"/>
      <c r="BN47" s="22">
        <f t="shared" si="8"/>
        <v>2500</v>
      </c>
      <c r="BO47" s="64" t="s">
        <v>85</v>
      </c>
      <c r="BT47" s="16" t="s">
        <v>137</v>
      </c>
    </row>
    <row r="48" spans="1:72" s="64" customFormat="1" ht="15" customHeight="1" x14ac:dyDescent="0.25">
      <c r="A48" s="156"/>
      <c r="B48" s="161"/>
      <c r="C48" s="163"/>
      <c r="F48" s="64" t="s">
        <v>66</v>
      </c>
      <c r="G48" s="64" t="s">
        <v>140</v>
      </c>
      <c r="H48" s="65" t="s">
        <v>148</v>
      </c>
      <c r="I48" s="156"/>
      <c r="J48" s="66" t="s">
        <v>142</v>
      </c>
      <c r="K48" s="66"/>
      <c r="L48" s="66"/>
      <c r="M48" s="66"/>
      <c r="N48" s="155"/>
      <c r="O48" s="72">
        <f>O47</f>
        <v>2500</v>
      </c>
      <c r="P48" s="72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5">
        <v>0.06</v>
      </c>
      <c r="AF48" s="65">
        <v>1.7000000000000002</v>
      </c>
      <c r="AG48" s="65">
        <v>2.4</v>
      </c>
      <c r="AH48" s="65"/>
      <c r="AI48" s="65"/>
      <c r="AJ48" s="65"/>
      <c r="AK48" s="65"/>
      <c r="AL48" s="65"/>
      <c r="AM48" s="65"/>
      <c r="AN48" s="65"/>
      <c r="AO48" s="156"/>
      <c r="AP48" s="65"/>
      <c r="AQ48" s="65"/>
      <c r="AR48" s="65"/>
      <c r="AS48" s="155"/>
      <c r="AT48" s="155"/>
      <c r="AU48" s="155"/>
      <c r="AV48" s="155"/>
      <c r="AW48" s="155"/>
      <c r="AX48" s="155"/>
      <c r="AY48" s="155"/>
      <c r="AZ48" s="155"/>
      <c r="BA48" s="155"/>
      <c r="BN48" s="22">
        <f t="shared" si="8"/>
        <v>2500</v>
      </c>
      <c r="BO48" s="64" t="s">
        <v>85</v>
      </c>
      <c r="BT48" s="16" t="s">
        <v>137</v>
      </c>
    </row>
    <row r="49" spans="1:72" s="64" customFormat="1" ht="15" customHeight="1" x14ac:dyDescent="0.25">
      <c r="A49" s="156"/>
      <c r="B49" s="161"/>
      <c r="C49" s="163"/>
      <c r="F49" s="64" t="s">
        <v>66</v>
      </c>
      <c r="G49" s="64" t="s">
        <v>140</v>
      </c>
      <c r="H49" s="65" t="s">
        <v>149</v>
      </c>
      <c r="I49" s="156"/>
      <c r="J49" s="66" t="s">
        <v>142</v>
      </c>
      <c r="K49" s="66"/>
      <c r="L49" s="66"/>
      <c r="M49" s="66"/>
      <c r="N49" s="155"/>
      <c r="O49" s="72">
        <f t="shared" ref="O49:O50" si="10">O48</f>
        <v>2500</v>
      </c>
      <c r="P49" s="72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5">
        <v>2.4E-2</v>
      </c>
      <c r="AF49" s="65">
        <v>0.7</v>
      </c>
      <c r="AG49" s="65">
        <v>1.4</v>
      </c>
      <c r="AH49" s="65"/>
      <c r="AI49" s="65"/>
      <c r="AJ49" s="65"/>
      <c r="AK49" s="65"/>
      <c r="AL49" s="65"/>
      <c r="AM49" s="65"/>
      <c r="AN49" s="65"/>
      <c r="AO49" s="156"/>
      <c r="AP49" s="65"/>
      <c r="AQ49" s="65"/>
      <c r="AR49" s="65"/>
      <c r="AS49" s="155"/>
      <c r="AT49" s="155"/>
      <c r="AU49" s="155"/>
      <c r="AV49" s="155"/>
      <c r="AW49" s="155"/>
      <c r="AX49" s="155"/>
      <c r="AY49" s="155"/>
      <c r="AZ49" s="155"/>
      <c r="BA49" s="155"/>
      <c r="BN49" s="22">
        <f t="shared" si="8"/>
        <v>2500</v>
      </c>
      <c r="BO49" s="64" t="s">
        <v>85</v>
      </c>
      <c r="BT49" s="16" t="s">
        <v>137</v>
      </c>
    </row>
    <row r="50" spans="1:72" s="64" customFormat="1" ht="15" customHeight="1" x14ac:dyDescent="0.25">
      <c r="A50" s="156"/>
      <c r="B50" s="162"/>
      <c r="C50" s="163"/>
      <c r="F50" s="64" t="s">
        <v>66</v>
      </c>
      <c r="G50" s="64" t="s">
        <v>140</v>
      </c>
      <c r="H50" s="65" t="s">
        <v>150</v>
      </c>
      <c r="I50" s="156"/>
      <c r="J50" s="66" t="s">
        <v>142</v>
      </c>
      <c r="K50" s="66"/>
      <c r="L50" s="66"/>
      <c r="M50" s="66"/>
      <c r="N50" s="155"/>
      <c r="O50" s="72">
        <f t="shared" si="10"/>
        <v>2500</v>
      </c>
      <c r="P50" s="72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5">
        <v>0.32400000000000001</v>
      </c>
      <c r="AF50" s="65">
        <v>2.7</v>
      </c>
      <c r="AG50" s="65">
        <v>5.3</v>
      </c>
      <c r="AH50" s="65"/>
      <c r="AI50" s="65"/>
      <c r="AJ50" s="65"/>
      <c r="AK50" s="65"/>
      <c r="AL50" s="65"/>
      <c r="AM50" s="65"/>
      <c r="AN50" s="65"/>
      <c r="AO50" s="156"/>
      <c r="AP50" s="65"/>
      <c r="AQ50" s="65"/>
      <c r="AR50" s="65"/>
      <c r="AS50" s="155"/>
      <c r="AT50" s="155"/>
      <c r="AU50" s="155"/>
      <c r="AV50" s="155"/>
      <c r="AW50" s="155"/>
      <c r="AX50" s="155"/>
      <c r="AY50" s="155"/>
      <c r="AZ50" s="155"/>
      <c r="BA50" s="155"/>
      <c r="BN50" s="22">
        <f t="shared" si="8"/>
        <v>2500</v>
      </c>
      <c r="BO50" s="64" t="s">
        <v>85</v>
      </c>
      <c r="BT50" s="16" t="s">
        <v>137</v>
      </c>
    </row>
    <row r="51" spans="1:72" s="73" customFormat="1" x14ac:dyDescent="0.25">
      <c r="A51" s="139">
        <v>8</v>
      </c>
      <c r="B51" s="139" t="s">
        <v>85</v>
      </c>
      <c r="C51" s="157" t="str">
        <f>BT51</f>
        <v>H1</v>
      </c>
      <c r="D51" s="73" t="s">
        <v>151</v>
      </c>
      <c r="F51" s="73" t="s">
        <v>66</v>
      </c>
      <c r="G51" s="106" t="s">
        <v>152</v>
      </c>
      <c r="H51" s="108" t="s">
        <v>261</v>
      </c>
      <c r="I51" s="142" t="s">
        <v>153</v>
      </c>
      <c r="J51" s="109" t="s">
        <v>152</v>
      </c>
      <c r="K51" s="74"/>
      <c r="L51" s="74"/>
      <c r="M51" s="74"/>
      <c r="N51" s="143" t="s">
        <v>154</v>
      </c>
      <c r="O51" s="75" t="s">
        <v>155</v>
      </c>
      <c r="P51" s="75"/>
      <c r="Q51" s="73" t="s">
        <v>156</v>
      </c>
      <c r="R51" s="73">
        <v>0.93100000000000005</v>
      </c>
      <c r="U51" s="73">
        <v>1.31</v>
      </c>
      <c r="Z51" s="73">
        <v>1.77</v>
      </c>
      <c r="AA51" s="73">
        <v>17</v>
      </c>
      <c r="AB51" s="76">
        <v>0.39</v>
      </c>
      <c r="AE51" s="73">
        <v>0.89</v>
      </c>
      <c r="AF51" s="73">
        <v>1.54</v>
      </c>
      <c r="AG51" s="76" t="s">
        <v>157</v>
      </c>
      <c r="AH51" s="73">
        <v>0.318</v>
      </c>
      <c r="AI51" s="73">
        <v>0.11899999999999999</v>
      </c>
      <c r="AO51" s="73">
        <v>0.12</v>
      </c>
      <c r="AR51" s="76"/>
      <c r="AS51" s="73" t="s">
        <v>270</v>
      </c>
      <c r="BN51" s="22" t="str">
        <f>IF(AND(LEN(O51)&gt;5,Q51&gt;0),Q51,IF(AND(LEN(O51)&gt;5,Q51=0),LEFT(O51,3),ABS(O51)))</f>
        <v>от -5.7 до -34.3</v>
      </c>
      <c r="BO51" s="73" t="s">
        <v>85</v>
      </c>
      <c r="BT51" s="16" t="s">
        <v>158</v>
      </c>
    </row>
    <row r="52" spans="1:72" s="73" customFormat="1" x14ac:dyDescent="0.25">
      <c r="A52" s="140"/>
      <c r="B52" s="140"/>
      <c r="C52" s="158"/>
      <c r="F52" s="73" t="s">
        <v>66</v>
      </c>
      <c r="G52" s="106" t="s">
        <v>152</v>
      </c>
      <c r="H52" s="108" t="s">
        <v>262</v>
      </c>
      <c r="I52" s="142"/>
      <c r="J52" s="109" t="s">
        <v>152</v>
      </c>
      <c r="K52" s="77"/>
      <c r="L52" s="77"/>
      <c r="M52" s="77"/>
      <c r="N52" s="144"/>
      <c r="O52" s="75" t="s">
        <v>159</v>
      </c>
      <c r="P52" s="75"/>
      <c r="Q52" s="73" t="s">
        <v>160</v>
      </c>
      <c r="R52" s="73">
        <v>0.90200000000000002</v>
      </c>
      <c r="U52" s="73">
        <v>1.34</v>
      </c>
      <c r="Z52" s="73">
        <v>1.91</v>
      </c>
      <c r="AA52" s="73">
        <v>17</v>
      </c>
      <c r="AB52" s="76">
        <v>0.39</v>
      </c>
      <c r="AE52" s="73">
        <v>0.89</v>
      </c>
      <c r="AF52" s="73">
        <v>1.36</v>
      </c>
      <c r="AG52" s="76" t="s">
        <v>161</v>
      </c>
      <c r="AH52" s="73">
        <v>0.33</v>
      </c>
      <c r="AI52" s="73">
        <v>0.11899999999999999</v>
      </c>
      <c r="AO52" s="73">
        <v>0.12</v>
      </c>
      <c r="AR52" s="76"/>
      <c r="BN52" s="22" t="str">
        <f t="shared" ref="BN52:BN59" si="11">IF(AND(LEN(O52)&gt;5,Q52&gt;0),Q52,IF(AND(LEN(O52)&gt;8,Q52=0),LEFT(O52,3),ABS(O52)))</f>
        <v>от -38.3 до 97.03</v>
      </c>
      <c r="BO52" s="73" t="s">
        <v>85</v>
      </c>
      <c r="BT52" s="16" t="s">
        <v>158</v>
      </c>
    </row>
    <row r="53" spans="1:72" s="73" customFormat="1" x14ac:dyDescent="0.25">
      <c r="A53" s="140"/>
      <c r="B53" s="140"/>
      <c r="C53" s="158"/>
      <c r="F53" s="73" t="s">
        <v>66</v>
      </c>
      <c r="G53" s="106" t="s">
        <v>162</v>
      </c>
      <c r="H53" s="108" t="s">
        <v>263</v>
      </c>
      <c r="I53" s="110" t="s">
        <v>163</v>
      </c>
      <c r="J53" s="111" t="s">
        <v>162</v>
      </c>
      <c r="K53" s="78"/>
      <c r="L53" s="78"/>
      <c r="M53" s="78"/>
      <c r="N53" s="139" t="s">
        <v>164</v>
      </c>
      <c r="O53" s="75" t="s">
        <v>165</v>
      </c>
      <c r="P53" s="75"/>
      <c r="Q53" s="73" t="s">
        <v>166</v>
      </c>
      <c r="R53" s="73">
        <v>0.91100000000000003</v>
      </c>
      <c r="U53" s="73">
        <v>1.31</v>
      </c>
      <c r="Z53" s="73">
        <v>2.13</v>
      </c>
      <c r="AA53" s="73">
        <v>18</v>
      </c>
      <c r="AB53" s="76">
        <v>0.59</v>
      </c>
      <c r="AE53" s="73">
        <v>0.8</v>
      </c>
      <c r="AF53" s="73">
        <v>1.78</v>
      </c>
      <c r="AG53" s="76" t="s">
        <v>167</v>
      </c>
      <c r="AH53" s="73">
        <v>0.33</v>
      </c>
      <c r="AI53" s="73">
        <v>0.04</v>
      </c>
      <c r="AO53" s="73">
        <v>0.18099999999999999</v>
      </c>
      <c r="AR53" s="76"/>
      <c r="BN53" s="22" t="str">
        <f t="shared" si="11"/>
        <v>-27.7; -98.9; -60.6; -79.2</v>
      </c>
      <c r="BO53" s="73" t="s">
        <v>85</v>
      </c>
      <c r="BT53" s="16" t="s">
        <v>158</v>
      </c>
    </row>
    <row r="54" spans="1:72" s="73" customFormat="1" ht="15" customHeight="1" x14ac:dyDescent="0.25">
      <c r="A54" s="140"/>
      <c r="B54" s="140"/>
      <c r="C54" s="158"/>
      <c r="F54" s="73" t="s">
        <v>66</v>
      </c>
      <c r="G54" s="106" t="s">
        <v>162</v>
      </c>
      <c r="H54" s="108" t="s">
        <v>264</v>
      </c>
      <c r="I54" s="142" t="s">
        <v>69</v>
      </c>
      <c r="J54" s="111" t="s">
        <v>162</v>
      </c>
      <c r="K54" s="79"/>
      <c r="L54" s="79"/>
      <c r="M54" s="79"/>
      <c r="N54" s="140"/>
      <c r="O54" s="75" t="s">
        <v>168</v>
      </c>
      <c r="P54" s="75"/>
      <c r="Q54" s="73" t="s">
        <v>169</v>
      </c>
      <c r="R54" s="73">
        <v>0.91300000000000003</v>
      </c>
      <c r="U54" s="73">
        <v>1.31</v>
      </c>
      <c r="Z54" s="73">
        <v>2.65</v>
      </c>
      <c r="AA54" s="73">
        <v>19</v>
      </c>
      <c r="AB54" s="76">
        <v>0.59</v>
      </c>
      <c r="AE54" s="73">
        <v>0.51</v>
      </c>
      <c r="AF54" s="73">
        <v>4.41</v>
      </c>
      <c r="AG54" s="76" t="s">
        <v>170</v>
      </c>
      <c r="AH54" s="73">
        <v>0.33</v>
      </c>
      <c r="AI54" s="73">
        <v>0.39100000000000001</v>
      </c>
      <c r="AO54" s="73">
        <v>0.26800000000000002</v>
      </c>
      <c r="AR54" s="76"/>
      <c r="BN54" s="22" t="str">
        <f t="shared" si="11"/>
        <v>от -119,6 до -175,9</v>
      </c>
      <c r="BO54" s="73" t="s">
        <v>85</v>
      </c>
      <c r="BT54" s="16" t="s">
        <v>158</v>
      </c>
    </row>
    <row r="55" spans="1:72" s="73" customFormat="1" x14ac:dyDescent="0.25">
      <c r="A55" s="140"/>
      <c r="B55" s="140"/>
      <c r="C55" s="158"/>
      <c r="F55" s="73" t="s">
        <v>66</v>
      </c>
      <c r="G55" s="106" t="s">
        <v>162</v>
      </c>
      <c r="H55" s="108" t="s">
        <v>265</v>
      </c>
      <c r="I55" s="142"/>
      <c r="J55" s="111" t="s">
        <v>162</v>
      </c>
      <c r="K55" s="77"/>
      <c r="L55" s="77"/>
      <c r="M55" s="77"/>
      <c r="N55" s="141"/>
      <c r="O55" s="75" t="s">
        <v>171</v>
      </c>
      <c r="P55" s="75"/>
      <c r="Q55" s="73" t="s">
        <v>172</v>
      </c>
      <c r="R55" s="73">
        <v>0.90800000000000003</v>
      </c>
      <c r="U55" s="73">
        <v>2.4500000000000002</v>
      </c>
      <c r="Z55" s="73">
        <v>3.01</v>
      </c>
      <c r="AA55" s="73">
        <v>20</v>
      </c>
      <c r="AB55" s="76">
        <v>0.73</v>
      </c>
      <c r="AE55" s="73">
        <v>0.73</v>
      </c>
      <c r="AF55" s="73">
        <v>2.4500000000000002</v>
      </c>
      <c r="AG55" s="76" t="s">
        <v>173</v>
      </c>
      <c r="AH55" s="73">
        <v>0.33</v>
      </c>
      <c r="AI55" s="73">
        <v>0.45700000000000002</v>
      </c>
      <c r="AO55" s="73">
        <v>0.26800000000000002</v>
      </c>
      <c r="AR55" s="76"/>
      <c r="BN55" s="22" t="str">
        <f t="shared" si="11"/>
        <v>-157.1; -160; -168.5; -193; -190</v>
      </c>
      <c r="BO55" s="73" t="s">
        <v>85</v>
      </c>
      <c r="BT55" s="16" t="s">
        <v>158</v>
      </c>
    </row>
    <row r="56" spans="1:72" s="73" customFormat="1" x14ac:dyDescent="0.25">
      <c r="A56" s="140"/>
      <c r="B56" s="140"/>
      <c r="C56" s="158"/>
      <c r="F56" s="73" t="s">
        <v>66</v>
      </c>
      <c r="G56" s="106" t="s">
        <v>174</v>
      </c>
      <c r="H56" s="108" t="s">
        <v>266</v>
      </c>
      <c r="I56" s="142" t="s">
        <v>124</v>
      </c>
      <c r="J56" s="109" t="s">
        <v>130</v>
      </c>
      <c r="K56" s="74"/>
      <c r="L56" s="74"/>
      <c r="M56" s="74"/>
      <c r="N56" s="143" t="s">
        <v>164</v>
      </c>
      <c r="O56" s="75" t="s">
        <v>175</v>
      </c>
      <c r="P56" s="75"/>
      <c r="Q56" s="73">
        <v>-286</v>
      </c>
      <c r="R56" s="73">
        <v>0.88600000000000001</v>
      </c>
      <c r="U56" s="73">
        <v>3.15</v>
      </c>
      <c r="Z56" s="73">
        <v>4</v>
      </c>
      <c r="AA56" s="73">
        <v>22</v>
      </c>
      <c r="AB56" s="76">
        <v>0.86</v>
      </c>
      <c r="AE56" s="73">
        <v>0.77</v>
      </c>
      <c r="AF56" s="73">
        <v>1.93</v>
      </c>
      <c r="AG56" s="76" t="s">
        <v>176</v>
      </c>
      <c r="AH56" s="73">
        <v>0.27</v>
      </c>
      <c r="AI56" s="73" t="s">
        <v>177</v>
      </c>
      <c r="AO56" s="73">
        <v>0.23200000000000001</v>
      </c>
      <c r="AR56" s="76"/>
      <c r="BN56" s="22" t="e">
        <f t="shared" si="11"/>
        <v>#VALUE!</v>
      </c>
      <c r="BO56" s="73" t="s">
        <v>85</v>
      </c>
      <c r="BT56" s="16" t="s">
        <v>158</v>
      </c>
    </row>
    <row r="57" spans="1:72" s="73" customFormat="1" x14ac:dyDescent="0.25">
      <c r="A57" s="140"/>
      <c r="B57" s="140"/>
      <c r="C57" s="158"/>
      <c r="F57" s="73" t="s">
        <v>66</v>
      </c>
      <c r="G57" s="106" t="s">
        <v>174</v>
      </c>
      <c r="H57" s="108" t="s">
        <v>267</v>
      </c>
      <c r="I57" s="142"/>
      <c r="J57" s="109" t="s">
        <v>130</v>
      </c>
      <c r="K57" s="77"/>
      <c r="L57" s="77"/>
      <c r="M57" s="77"/>
      <c r="N57" s="144"/>
      <c r="O57" s="75" t="s">
        <v>178</v>
      </c>
      <c r="P57" s="75"/>
      <c r="Q57" s="73">
        <v>-311</v>
      </c>
      <c r="R57" s="73">
        <v>0.88600000000000001</v>
      </c>
      <c r="U57" s="73">
        <v>3.15</v>
      </c>
      <c r="Z57" s="73">
        <v>4</v>
      </c>
      <c r="AA57" s="73">
        <v>22</v>
      </c>
      <c r="AB57" s="76">
        <v>0.86</v>
      </c>
      <c r="AE57" s="73">
        <v>0.89</v>
      </c>
      <c r="AF57" s="73">
        <v>1.46</v>
      </c>
      <c r="AG57" s="76" t="s">
        <v>179</v>
      </c>
      <c r="AH57" s="73">
        <v>0.26</v>
      </c>
      <c r="AI57" s="73" t="s">
        <v>177</v>
      </c>
      <c r="AO57" s="73">
        <v>0.23200000000000001</v>
      </c>
      <c r="AR57" s="76"/>
      <c r="BN57" s="22" t="e">
        <f t="shared" si="11"/>
        <v>#VALUE!</v>
      </c>
      <c r="BO57" s="73" t="s">
        <v>85</v>
      </c>
      <c r="BT57" s="16" t="s">
        <v>158</v>
      </c>
    </row>
    <row r="58" spans="1:72" s="73" customFormat="1" x14ac:dyDescent="0.25">
      <c r="A58" s="140"/>
      <c r="B58" s="140"/>
      <c r="C58" s="158"/>
      <c r="F58" s="73" t="s">
        <v>66</v>
      </c>
      <c r="G58" s="106" t="s">
        <v>180</v>
      </c>
      <c r="H58" s="108" t="s">
        <v>268</v>
      </c>
      <c r="I58" s="110" t="s">
        <v>181</v>
      </c>
      <c r="J58" s="110" t="s">
        <v>182</v>
      </c>
      <c r="K58" s="78"/>
      <c r="L58" s="78"/>
      <c r="M58" s="78"/>
      <c r="N58" s="143" t="s">
        <v>183</v>
      </c>
      <c r="O58" s="75" t="s">
        <v>184</v>
      </c>
      <c r="P58" s="75"/>
      <c r="Q58" s="73" t="s">
        <v>185</v>
      </c>
      <c r="R58" s="73">
        <v>0.86899999999999999</v>
      </c>
      <c r="U58" s="73">
        <v>3.42</v>
      </c>
      <c r="Z58" s="73">
        <v>5.14</v>
      </c>
      <c r="AA58" s="73">
        <v>25</v>
      </c>
      <c r="AB58" s="76">
        <v>1.31</v>
      </c>
      <c r="AE58" s="73">
        <v>0.74</v>
      </c>
      <c r="AF58" s="73">
        <v>2.08</v>
      </c>
      <c r="AG58" s="76" t="s">
        <v>186</v>
      </c>
      <c r="AH58" s="73">
        <v>0.24</v>
      </c>
      <c r="AI58" s="73" t="s">
        <v>177</v>
      </c>
      <c r="AO58" s="73">
        <v>0.10199999999999999</v>
      </c>
      <c r="AR58" s="76"/>
      <c r="BN58" s="22" t="str">
        <f t="shared" si="11"/>
        <v>-340; -418</v>
      </c>
      <c r="BO58" s="73" t="s">
        <v>85</v>
      </c>
      <c r="BT58" s="16" t="s">
        <v>158</v>
      </c>
    </row>
    <row r="59" spans="1:72" s="73" customFormat="1" x14ac:dyDescent="0.25">
      <c r="A59" s="141"/>
      <c r="B59" s="141"/>
      <c r="C59" s="159"/>
      <c r="F59" s="73" t="s">
        <v>66</v>
      </c>
      <c r="G59" s="106" t="s">
        <v>180</v>
      </c>
      <c r="H59" s="112"/>
      <c r="I59" s="110" t="s">
        <v>187</v>
      </c>
      <c r="J59" s="110" t="s">
        <v>182</v>
      </c>
      <c r="K59" s="80"/>
      <c r="L59" s="80"/>
      <c r="M59" s="80"/>
      <c r="N59" s="144"/>
      <c r="O59" s="75" t="s">
        <v>188</v>
      </c>
      <c r="P59" s="75"/>
      <c r="Q59" s="73" t="s">
        <v>189</v>
      </c>
      <c r="R59" s="73">
        <v>0.75790000000000002</v>
      </c>
      <c r="U59" s="73">
        <v>77.549999999999983</v>
      </c>
      <c r="Z59" s="73">
        <v>10.43</v>
      </c>
      <c r="AA59" s="73">
        <v>25.919999999999998</v>
      </c>
      <c r="AB59" s="76">
        <v>6.2509999999999994</v>
      </c>
      <c r="AE59" s="73">
        <v>0.2036</v>
      </c>
      <c r="AF59" s="73">
        <v>2.4020000000000001</v>
      </c>
      <c r="AG59" s="76">
        <f>AVERAGE(4.4,8.1,5.5,12,10.5,8,9.5,6.4,3.1)</f>
        <v>7.5</v>
      </c>
      <c r="AH59" s="73">
        <v>0.20880000000000001</v>
      </c>
      <c r="AI59" s="73">
        <v>0.13471999999999998</v>
      </c>
      <c r="AO59" s="73">
        <v>0.33009999999999995</v>
      </c>
      <c r="AR59" s="76"/>
      <c r="BN59" s="22" t="str">
        <f t="shared" si="11"/>
        <v>от -448.1 до 1400.8</v>
      </c>
      <c r="BO59" s="73" t="s">
        <v>85</v>
      </c>
      <c r="BT59" s="16" t="s">
        <v>158</v>
      </c>
    </row>
    <row r="60" spans="1:72" s="73" customFormat="1" x14ac:dyDescent="0.25">
      <c r="A60" s="145">
        <v>9</v>
      </c>
      <c r="B60" s="145" t="s">
        <v>85</v>
      </c>
      <c r="C60" s="148" t="str">
        <f>BT60</f>
        <v>I1</v>
      </c>
      <c r="D60" s="46" t="s">
        <v>190</v>
      </c>
      <c r="E60" s="46"/>
      <c r="F60" s="81" t="s">
        <v>66</v>
      </c>
      <c r="G60" s="107" t="s">
        <v>191</v>
      </c>
      <c r="H60" s="81" t="s">
        <v>192</v>
      </c>
      <c r="I60" s="151" t="s">
        <v>59</v>
      </c>
      <c r="J60" s="48" t="s">
        <v>50</v>
      </c>
      <c r="K60" s="48"/>
      <c r="L60" s="48"/>
      <c r="M60" s="48"/>
      <c r="N60" s="82" t="s">
        <v>193</v>
      </c>
      <c r="O60" s="83"/>
      <c r="P60" s="83"/>
      <c r="Q60" s="46"/>
      <c r="R60" s="46"/>
      <c r="S60" s="46"/>
      <c r="T60" s="46"/>
      <c r="U60" s="46">
        <v>402.2</v>
      </c>
      <c r="V60" s="46"/>
      <c r="W60" s="46"/>
      <c r="X60" s="46"/>
      <c r="Y60" s="46"/>
      <c r="Z60" s="46"/>
      <c r="AA60" s="46"/>
      <c r="AB60" s="49"/>
      <c r="AC60" s="46"/>
      <c r="AD60" s="46"/>
      <c r="AE60" s="4">
        <v>0.16</v>
      </c>
      <c r="AF60" s="4">
        <v>5</v>
      </c>
      <c r="AG60" s="49"/>
      <c r="AH60" s="46"/>
      <c r="AI60" s="46"/>
      <c r="AJ60" s="46"/>
      <c r="AK60" s="46"/>
      <c r="AL60" s="46"/>
      <c r="AM60" s="46"/>
      <c r="AN60" s="46"/>
      <c r="AO60" s="84">
        <f>95.7/869.7</f>
        <v>0.11003794411866161</v>
      </c>
      <c r="AP60" s="46"/>
      <c r="AQ60" s="46"/>
      <c r="AR60" s="49"/>
      <c r="AS60" s="46"/>
      <c r="AT60" s="46"/>
      <c r="AU60" s="46"/>
      <c r="AV60" s="46"/>
      <c r="BN60" s="22">
        <f t="shared" ref="BN60:BN64" si="12">IF(AND(LEN(O60)&gt;8,Q60&gt;0),Q60,IF(AND(LEN(O60)&gt;8,Q60=0),LEFT(O60,4),ABS(O60)))</f>
        <v>0</v>
      </c>
      <c r="BO60" s="73" t="s">
        <v>85</v>
      </c>
      <c r="BT60" s="16" t="s">
        <v>194</v>
      </c>
    </row>
    <row r="61" spans="1:72" s="73" customFormat="1" ht="15" customHeight="1" x14ac:dyDescent="0.25">
      <c r="A61" s="146"/>
      <c r="B61" s="146"/>
      <c r="C61" s="149"/>
      <c r="D61" s="152" t="s">
        <v>195</v>
      </c>
      <c r="E61" s="85"/>
      <c r="F61" s="81" t="s">
        <v>66</v>
      </c>
      <c r="G61" s="107" t="s">
        <v>196</v>
      </c>
      <c r="H61" s="81" t="s">
        <v>197</v>
      </c>
      <c r="I61" s="151"/>
      <c r="J61" s="48" t="s">
        <v>50</v>
      </c>
      <c r="K61" s="48"/>
      <c r="L61" s="48"/>
      <c r="M61" s="48"/>
      <c r="N61" s="82" t="s">
        <v>193</v>
      </c>
      <c r="O61" s="83"/>
      <c r="P61" s="83"/>
      <c r="Q61" s="46"/>
      <c r="R61" s="46"/>
      <c r="S61" s="46"/>
      <c r="T61" s="46"/>
      <c r="U61" s="46">
        <v>402.2</v>
      </c>
      <c r="V61" s="46"/>
      <c r="W61" s="46"/>
      <c r="X61" s="46"/>
      <c r="Y61" s="46"/>
      <c r="Z61" s="46"/>
      <c r="AA61" s="46"/>
      <c r="AB61" s="49"/>
      <c r="AC61" s="46"/>
      <c r="AD61" s="46"/>
      <c r="AE61" s="4">
        <v>0.62</v>
      </c>
      <c r="AF61" s="4">
        <v>2.73</v>
      </c>
      <c r="AG61" s="49"/>
      <c r="AH61" s="46"/>
      <c r="AI61" s="46"/>
      <c r="AJ61" s="46"/>
      <c r="AK61" s="46"/>
      <c r="AL61" s="46"/>
      <c r="AM61" s="46"/>
      <c r="AN61" s="46"/>
      <c r="AO61" s="84">
        <f>148.9/1353.2</f>
        <v>0.11003547147502217</v>
      </c>
      <c r="AP61" s="46"/>
      <c r="AQ61" s="46"/>
      <c r="AR61" s="49"/>
      <c r="AS61" s="46"/>
      <c r="AT61" s="46"/>
      <c r="AU61" s="46"/>
      <c r="AV61" s="46"/>
      <c r="BN61" s="22">
        <f t="shared" si="12"/>
        <v>0</v>
      </c>
      <c r="BO61" s="73" t="s">
        <v>85</v>
      </c>
      <c r="BT61" s="16" t="s">
        <v>194</v>
      </c>
    </row>
    <row r="62" spans="1:72" s="73" customFormat="1" x14ac:dyDescent="0.25">
      <c r="A62" s="146"/>
      <c r="B62" s="146"/>
      <c r="C62" s="149"/>
      <c r="D62" s="153"/>
      <c r="E62" s="86"/>
      <c r="F62" s="81" t="s">
        <v>66</v>
      </c>
      <c r="G62" s="107" t="s">
        <v>196</v>
      </c>
      <c r="H62" s="81" t="s">
        <v>198</v>
      </c>
      <c r="I62" s="151"/>
      <c r="J62" s="48" t="s">
        <v>50</v>
      </c>
      <c r="K62" s="48"/>
      <c r="L62" s="48"/>
      <c r="M62" s="48"/>
      <c r="N62" s="82" t="s">
        <v>193</v>
      </c>
      <c r="O62" s="83"/>
      <c r="P62" s="83"/>
      <c r="Q62" s="46"/>
      <c r="R62" s="46"/>
      <c r="S62" s="46"/>
      <c r="T62" s="46"/>
      <c r="U62" s="46">
        <v>402.2</v>
      </c>
      <c r="V62" s="46"/>
      <c r="W62" s="46"/>
      <c r="X62" s="46"/>
      <c r="Y62" s="46"/>
      <c r="Z62" s="46"/>
      <c r="AA62" s="46"/>
      <c r="AB62" s="49"/>
      <c r="AC62" s="46"/>
      <c r="AD62" s="46"/>
      <c r="AE62" s="4">
        <v>0.17</v>
      </c>
      <c r="AF62" s="4">
        <v>6.42</v>
      </c>
      <c r="AG62" s="49"/>
      <c r="AH62" s="46"/>
      <c r="AI62" s="46"/>
      <c r="AJ62" s="46"/>
      <c r="AK62" s="46"/>
      <c r="AL62" s="46"/>
      <c r="AM62" s="46"/>
      <c r="AN62" s="46"/>
      <c r="AO62" s="84">
        <f>262.2/2383.9</f>
        <v>0.10998783506019547</v>
      </c>
      <c r="AP62" s="46"/>
      <c r="AQ62" s="46"/>
      <c r="AR62" s="49"/>
      <c r="AS62" s="46"/>
      <c r="AT62" s="46"/>
      <c r="AU62" s="46"/>
      <c r="AV62" s="46"/>
      <c r="BN62" s="22">
        <f t="shared" si="12"/>
        <v>0</v>
      </c>
      <c r="BO62" s="73" t="s">
        <v>85</v>
      </c>
      <c r="BT62" s="16" t="s">
        <v>194</v>
      </c>
    </row>
    <row r="63" spans="1:72" s="73" customFormat="1" x14ac:dyDescent="0.25">
      <c r="A63" s="146"/>
      <c r="B63" s="146"/>
      <c r="C63" s="149"/>
      <c r="D63" s="154"/>
      <c r="E63" s="87"/>
      <c r="F63" s="81" t="s">
        <v>66</v>
      </c>
      <c r="G63" s="107" t="s">
        <v>196</v>
      </c>
      <c r="H63" s="81" t="s">
        <v>199</v>
      </c>
      <c r="I63" s="151"/>
      <c r="J63" s="48" t="s">
        <v>50</v>
      </c>
      <c r="K63" s="48"/>
      <c r="L63" s="48"/>
      <c r="M63" s="48"/>
      <c r="N63" s="82" t="s">
        <v>193</v>
      </c>
      <c r="O63" s="83"/>
      <c r="P63" s="83"/>
      <c r="Q63" s="46"/>
      <c r="R63" s="46"/>
      <c r="S63" s="46"/>
      <c r="T63" s="46"/>
      <c r="U63" s="46">
        <v>402.2</v>
      </c>
      <c r="V63" s="46"/>
      <c r="W63" s="46"/>
      <c r="X63" s="46"/>
      <c r="Y63" s="46"/>
      <c r="Z63" s="46"/>
      <c r="AA63" s="46"/>
      <c r="AB63" s="49"/>
      <c r="AC63" s="46"/>
      <c r="AD63" s="46"/>
      <c r="AE63" s="4">
        <v>0.08</v>
      </c>
      <c r="AF63" s="4">
        <v>4.75</v>
      </c>
      <c r="AG63" s="49"/>
      <c r="AH63" s="46"/>
      <c r="AI63" s="46"/>
      <c r="AJ63" s="46"/>
      <c r="AK63" s="46"/>
      <c r="AL63" s="46"/>
      <c r="AM63" s="46"/>
      <c r="AN63" s="46"/>
      <c r="AO63" s="84">
        <f>439.4/3994.8</f>
        <v>0.10999299088815459</v>
      </c>
      <c r="AP63" s="46"/>
      <c r="AQ63" s="46"/>
      <c r="AR63" s="49"/>
      <c r="AS63" s="46"/>
      <c r="AT63" s="46"/>
      <c r="AU63" s="46"/>
      <c r="AV63" s="46"/>
      <c r="BN63" s="22">
        <f t="shared" si="12"/>
        <v>0</v>
      </c>
      <c r="BO63" s="73" t="s">
        <v>85</v>
      </c>
      <c r="BT63" s="16" t="s">
        <v>194</v>
      </c>
    </row>
    <row r="64" spans="1:72" s="73" customFormat="1" ht="25.5" x14ac:dyDescent="0.25">
      <c r="A64" s="146"/>
      <c r="B64" s="146"/>
      <c r="C64" s="149"/>
      <c r="D64" s="46"/>
      <c r="E64" s="46"/>
      <c r="F64" s="81" t="s">
        <v>66</v>
      </c>
      <c r="G64" s="107" t="s">
        <v>200</v>
      </c>
      <c r="H64" s="81" t="s">
        <v>201</v>
      </c>
      <c r="I64" s="151"/>
      <c r="J64" s="48" t="s">
        <v>50</v>
      </c>
      <c r="K64" s="48"/>
      <c r="L64" s="48"/>
      <c r="M64" s="48"/>
      <c r="N64" s="88" t="s">
        <v>193</v>
      </c>
      <c r="O64" s="83" t="s">
        <v>202</v>
      </c>
      <c r="P64" s="83"/>
      <c r="Q64" s="46"/>
      <c r="R64" s="46"/>
      <c r="S64" s="46"/>
      <c r="T64" s="46"/>
      <c r="U64" s="46">
        <v>402.2</v>
      </c>
      <c r="V64" s="46"/>
      <c r="W64" s="46"/>
      <c r="X64" s="46"/>
      <c r="Y64" s="46"/>
      <c r="Z64" s="46"/>
      <c r="AA64" s="46"/>
      <c r="AB64" s="49"/>
      <c r="AC64" s="46"/>
      <c r="AD64" s="46"/>
      <c r="AE64" s="4">
        <v>0.27</v>
      </c>
      <c r="AF64" s="4">
        <v>5.5</v>
      </c>
      <c r="AG64" s="49"/>
      <c r="AH64" s="46"/>
      <c r="AI64" s="46"/>
      <c r="AJ64" s="46"/>
      <c r="AK64" s="46"/>
      <c r="AL64" s="46"/>
      <c r="AM64" s="46"/>
      <c r="AN64" s="46"/>
      <c r="AO64" s="84">
        <f>85.5/777.4</f>
        <v>0.10998199125289426</v>
      </c>
      <c r="AP64" s="46"/>
      <c r="AQ64" s="46"/>
      <c r="AR64" s="49"/>
      <c r="AS64" s="46"/>
      <c r="AT64" s="46"/>
      <c r="AU64" s="46"/>
      <c r="AV64" s="46"/>
      <c r="BN64" s="22" t="str">
        <f t="shared" si="12"/>
        <v>4437</v>
      </c>
      <c r="BO64" s="73" t="s">
        <v>85</v>
      </c>
      <c r="BT64" s="16" t="s">
        <v>194</v>
      </c>
    </row>
    <row r="65" spans="1:72" s="4" customFormat="1" x14ac:dyDescent="0.25">
      <c r="A65" s="146"/>
      <c r="B65" s="146"/>
      <c r="C65" s="149"/>
      <c r="D65" s="46"/>
      <c r="E65" s="46"/>
      <c r="F65" s="81" t="s">
        <v>66</v>
      </c>
      <c r="G65" s="107" t="s">
        <v>203</v>
      </c>
      <c r="H65" s="81" t="s">
        <v>204</v>
      </c>
      <c r="I65" s="151"/>
      <c r="J65" s="48" t="s">
        <v>50</v>
      </c>
      <c r="K65" s="48"/>
      <c r="L65" s="48"/>
      <c r="M65" s="48"/>
      <c r="N65" s="82" t="s">
        <v>193</v>
      </c>
      <c r="O65" s="46"/>
      <c r="P65" s="46"/>
      <c r="Q65" s="46"/>
      <c r="R65" s="46"/>
      <c r="S65" s="46"/>
      <c r="T65" s="46"/>
      <c r="U65" s="46">
        <v>402.2</v>
      </c>
      <c r="V65" s="46"/>
      <c r="W65" s="46"/>
      <c r="X65" s="46"/>
      <c r="Y65" s="46"/>
      <c r="Z65" s="46"/>
      <c r="AA65" s="46"/>
      <c r="AB65" s="49"/>
      <c r="AC65" s="46"/>
      <c r="AD65" s="46"/>
      <c r="AE65" s="4">
        <v>0.25</v>
      </c>
      <c r="AF65" s="4">
        <v>4.5599999999999996</v>
      </c>
      <c r="AG65" s="49"/>
      <c r="AH65" s="46"/>
      <c r="AI65" s="46"/>
      <c r="AJ65" s="46"/>
      <c r="AK65" s="46"/>
      <c r="AL65" s="46"/>
      <c r="AM65" s="46"/>
      <c r="AN65" s="46"/>
      <c r="AO65" s="84">
        <f>30041/80317</f>
        <v>0.37403040452208125</v>
      </c>
      <c r="AP65" s="46"/>
      <c r="AQ65" s="46"/>
      <c r="AR65" s="49"/>
      <c r="AS65" s="46"/>
      <c r="AT65" s="46"/>
      <c r="AU65" s="46"/>
      <c r="AV65" s="46"/>
      <c r="BN65" s="89"/>
      <c r="BO65" s="73" t="s">
        <v>85</v>
      </c>
      <c r="BT65" s="16" t="s">
        <v>194</v>
      </c>
    </row>
    <row r="66" spans="1:72" s="4" customFormat="1" x14ac:dyDescent="0.25">
      <c r="A66" s="147"/>
      <c r="B66" s="147"/>
      <c r="C66" s="150"/>
      <c r="D66" s="46"/>
      <c r="E66" s="46"/>
      <c r="F66" s="81" t="s">
        <v>66</v>
      </c>
      <c r="G66" s="81" t="s">
        <v>205</v>
      </c>
      <c r="H66" s="81" t="s">
        <v>206</v>
      </c>
      <c r="I66" s="48" t="s">
        <v>52</v>
      </c>
      <c r="J66" s="90" t="s">
        <v>77</v>
      </c>
      <c r="K66" s="90" t="s">
        <v>81</v>
      </c>
      <c r="L66" s="48"/>
      <c r="M66" s="48"/>
      <c r="N66" s="49" t="s">
        <v>207</v>
      </c>
      <c r="O66" s="46" t="s">
        <v>208</v>
      </c>
      <c r="P66" s="46"/>
      <c r="Q66" s="46"/>
      <c r="R66" s="46"/>
      <c r="S66" s="46"/>
      <c r="T66" s="46"/>
      <c r="U66" s="46">
        <v>419.5</v>
      </c>
      <c r="V66" s="46"/>
      <c r="W66" s="46"/>
      <c r="X66" s="46"/>
      <c r="Y66" s="46"/>
      <c r="Z66" s="46"/>
      <c r="AA66" s="46"/>
      <c r="AB66" s="49"/>
      <c r="AC66" s="46"/>
      <c r="AD66" s="46"/>
      <c r="AE66" s="4">
        <v>0.56000000000000005</v>
      </c>
      <c r="AF66" s="4">
        <v>16.5</v>
      </c>
      <c r="AG66" s="49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9"/>
      <c r="AS66" s="46"/>
      <c r="AT66" s="46"/>
      <c r="AU66" s="46"/>
      <c r="AV66" s="46"/>
      <c r="BN66" s="89"/>
      <c r="BO66" s="73" t="s">
        <v>85</v>
      </c>
      <c r="BT66" s="16" t="s">
        <v>194</v>
      </c>
    </row>
    <row r="68" spans="1:72" s="91" customFormat="1" x14ac:dyDescent="0.25">
      <c r="A68" s="129">
        <v>12</v>
      </c>
      <c r="B68" s="132" t="s">
        <v>85</v>
      </c>
      <c r="C68" s="135" t="str">
        <f>BT68</f>
        <v>L1</v>
      </c>
      <c r="D68" s="91" t="s">
        <v>209</v>
      </c>
      <c r="F68" s="91" t="s">
        <v>66</v>
      </c>
      <c r="I68" s="91" t="s">
        <v>210</v>
      </c>
      <c r="J68" s="91" t="s">
        <v>90</v>
      </c>
      <c r="AB68" s="92"/>
      <c r="AG68" s="92"/>
      <c r="AO68" s="91">
        <v>0.215</v>
      </c>
      <c r="AP68" s="91">
        <v>0.749</v>
      </c>
      <c r="AQ68" s="91">
        <v>0.30199999999999999</v>
      </c>
      <c r="AR68" s="92"/>
      <c r="BD68" s="91">
        <v>0.749</v>
      </c>
      <c r="BI68" s="91">
        <v>0.30199999999999999</v>
      </c>
      <c r="BN68" s="22">
        <f t="shared" ref="BN68:BN90" si="13">IF(AND(LEN(O68)&gt;5,Q68&gt;0),Q68,IF(AND(LEN(O68)&gt;8,Q68=0),LEFT(O68,3),ABS(O68)))</f>
        <v>0</v>
      </c>
      <c r="BO68" s="91" t="s">
        <v>85</v>
      </c>
      <c r="BT68" s="16" t="s">
        <v>211</v>
      </c>
    </row>
    <row r="69" spans="1:72" s="91" customFormat="1" x14ac:dyDescent="0.25">
      <c r="A69" s="130"/>
      <c r="B69" s="133"/>
      <c r="C69" s="135"/>
      <c r="F69" s="91" t="s">
        <v>66</v>
      </c>
      <c r="I69" s="91" t="s">
        <v>212</v>
      </c>
      <c r="J69" s="91" t="s">
        <v>90</v>
      </c>
      <c r="AB69" s="92"/>
      <c r="AG69" s="92"/>
      <c r="AO69" s="91">
        <v>0.34899999999999998</v>
      </c>
      <c r="AP69" s="91">
        <v>0.71799999999999997</v>
      </c>
      <c r="AQ69" s="91">
        <v>0.28599999999999998</v>
      </c>
      <c r="AR69" s="92"/>
      <c r="BD69" s="91">
        <v>0.71799999999999997</v>
      </c>
      <c r="BI69" s="91">
        <v>0.28599999999999998</v>
      </c>
      <c r="BN69" s="22">
        <f t="shared" si="13"/>
        <v>0</v>
      </c>
      <c r="BO69" s="91" t="s">
        <v>85</v>
      </c>
      <c r="BT69" s="16" t="s">
        <v>211</v>
      </c>
    </row>
    <row r="70" spans="1:72" s="91" customFormat="1" x14ac:dyDescent="0.25">
      <c r="A70" s="130"/>
      <c r="B70" s="133"/>
      <c r="C70" s="135"/>
      <c r="F70" s="91" t="s">
        <v>66</v>
      </c>
      <c r="I70" s="91" t="s">
        <v>213</v>
      </c>
      <c r="J70" s="91" t="s">
        <v>90</v>
      </c>
      <c r="AB70" s="92"/>
      <c r="AG70" s="92"/>
      <c r="AO70" s="91">
        <v>0.26700000000000002</v>
      </c>
      <c r="AP70" s="91">
        <v>0.65400000000000003</v>
      </c>
      <c r="AQ70" s="91">
        <v>0.26900000000000002</v>
      </c>
      <c r="AR70" s="92"/>
      <c r="BD70" s="91">
        <v>0.65400000000000003</v>
      </c>
      <c r="BI70" s="91">
        <v>0.26900000000000002</v>
      </c>
      <c r="BN70" s="22">
        <f t="shared" si="13"/>
        <v>0</v>
      </c>
      <c r="BO70" s="91" t="s">
        <v>85</v>
      </c>
      <c r="BT70" s="16" t="s">
        <v>211</v>
      </c>
    </row>
    <row r="71" spans="1:72" s="91" customFormat="1" x14ac:dyDescent="0.25">
      <c r="A71" s="130"/>
      <c r="B71" s="133"/>
      <c r="C71" s="135"/>
      <c r="F71" s="91" t="s">
        <v>66</v>
      </c>
      <c r="I71" s="91" t="s">
        <v>214</v>
      </c>
      <c r="J71" s="91" t="s">
        <v>90</v>
      </c>
      <c r="AB71" s="92"/>
      <c r="AG71" s="92"/>
      <c r="AO71" s="91">
        <v>0.312</v>
      </c>
      <c r="AP71" s="91">
        <v>0.67400000000000004</v>
      </c>
      <c r="AQ71" s="91">
        <v>0.51200000000000001</v>
      </c>
      <c r="AR71" s="92"/>
      <c r="BD71" s="91">
        <v>0.67400000000000004</v>
      </c>
      <c r="BI71" s="91">
        <v>0.51200000000000001</v>
      </c>
      <c r="BN71" s="22">
        <f t="shared" si="13"/>
        <v>0</v>
      </c>
      <c r="BO71" s="91" t="s">
        <v>85</v>
      </c>
      <c r="BT71" s="16" t="s">
        <v>211</v>
      </c>
    </row>
    <row r="72" spans="1:72" s="91" customFormat="1" x14ac:dyDescent="0.25">
      <c r="A72" s="130"/>
      <c r="B72" s="133"/>
      <c r="C72" s="135"/>
      <c r="F72" s="91" t="s">
        <v>66</v>
      </c>
      <c r="I72" s="91" t="s">
        <v>215</v>
      </c>
      <c r="J72" s="91" t="s">
        <v>81</v>
      </c>
      <c r="AB72" s="92"/>
      <c r="AG72" s="92"/>
      <c r="AO72" s="91">
        <v>0.36</v>
      </c>
      <c r="AP72" s="91">
        <v>0.70399999999999996</v>
      </c>
      <c r="AQ72" s="91">
        <v>0.48</v>
      </c>
      <c r="AR72" s="92"/>
      <c r="BD72" s="91">
        <v>0.70399999999999996</v>
      </c>
      <c r="BI72" s="91">
        <v>0.48</v>
      </c>
      <c r="BN72" s="22">
        <f t="shared" si="13"/>
        <v>0</v>
      </c>
      <c r="BO72" s="91" t="s">
        <v>85</v>
      </c>
      <c r="BT72" s="16" t="s">
        <v>211</v>
      </c>
    </row>
    <row r="73" spans="1:72" s="91" customFormat="1" x14ac:dyDescent="0.25">
      <c r="A73" s="130"/>
      <c r="B73" s="133"/>
      <c r="C73" s="135"/>
      <c r="F73" s="91" t="s">
        <v>66</v>
      </c>
      <c r="I73" s="91" t="s">
        <v>216</v>
      </c>
      <c r="J73" s="91" t="s">
        <v>81</v>
      </c>
      <c r="AB73" s="92"/>
      <c r="AG73" s="92"/>
      <c r="AO73" s="91">
        <v>0.13700000000000001</v>
      </c>
      <c r="AR73" s="92"/>
      <c r="BN73" s="22">
        <f t="shared" si="13"/>
        <v>0</v>
      </c>
      <c r="BO73" s="91" t="s">
        <v>85</v>
      </c>
      <c r="BT73" s="16" t="s">
        <v>211</v>
      </c>
    </row>
    <row r="74" spans="1:72" s="91" customFormat="1" x14ac:dyDescent="0.25">
      <c r="A74" s="130"/>
      <c r="B74" s="133"/>
      <c r="C74" s="135"/>
      <c r="F74" s="91" t="s">
        <v>66</v>
      </c>
      <c r="I74" s="91" t="s">
        <v>217</v>
      </c>
      <c r="J74" s="91" t="s">
        <v>81</v>
      </c>
      <c r="AB74" s="92"/>
      <c r="AG74" s="92"/>
      <c r="AO74" s="91">
        <v>0.20499999999999999</v>
      </c>
      <c r="AR74" s="92"/>
      <c r="BN74" s="22">
        <f t="shared" si="13"/>
        <v>0</v>
      </c>
      <c r="BO74" s="91" t="s">
        <v>85</v>
      </c>
      <c r="BT74" s="16" t="s">
        <v>211</v>
      </c>
    </row>
    <row r="75" spans="1:72" s="91" customFormat="1" x14ac:dyDescent="0.25">
      <c r="A75" s="130"/>
      <c r="B75" s="133"/>
      <c r="C75" s="135"/>
      <c r="F75" s="91" t="s">
        <v>66</v>
      </c>
      <c r="I75" s="91" t="s">
        <v>218</v>
      </c>
      <c r="J75" s="91" t="s">
        <v>81</v>
      </c>
      <c r="AB75" s="92"/>
      <c r="AG75" s="92"/>
      <c r="AO75" s="91">
        <v>0.25800000000000001</v>
      </c>
      <c r="AR75" s="92"/>
      <c r="BN75" s="22">
        <f t="shared" si="13"/>
        <v>0</v>
      </c>
      <c r="BO75" s="91" t="s">
        <v>85</v>
      </c>
      <c r="BT75" s="16" t="s">
        <v>211</v>
      </c>
    </row>
    <row r="76" spans="1:72" s="91" customFormat="1" x14ac:dyDescent="0.25">
      <c r="A76" s="131"/>
      <c r="B76" s="134"/>
      <c r="C76" s="135"/>
      <c r="F76" s="91" t="s">
        <v>66</v>
      </c>
      <c r="I76" s="91" t="s">
        <v>219</v>
      </c>
      <c r="J76" s="91" t="s">
        <v>81</v>
      </c>
      <c r="AB76" s="92"/>
      <c r="AG76" s="92"/>
      <c r="AO76" s="91">
        <v>0.29499999999999998</v>
      </c>
      <c r="AR76" s="92"/>
      <c r="BN76" s="22">
        <f t="shared" si="13"/>
        <v>0</v>
      </c>
      <c r="BO76" s="91" t="s">
        <v>85</v>
      </c>
      <c r="BT76" s="16" t="s">
        <v>211</v>
      </c>
    </row>
    <row r="77" spans="1:72" x14ac:dyDescent="0.25">
      <c r="A77" s="113">
        <v>13</v>
      </c>
      <c r="B77" s="136" t="s">
        <v>220</v>
      </c>
      <c r="C77" s="137" t="str">
        <f>BT77</f>
        <v>M1</v>
      </c>
      <c r="D77" s="93" t="s">
        <v>221</v>
      </c>
      <c r="E77" s="93"/>
      <c r="F77" s="4" t="s">
        <v>1</v>
      </c>
      <c r="G77" s="4"/>
      <c r="H77" s="4"/>
      <c r="I77" s="4"/>
      <c r="J77" s="4" t="s">
        <v>70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94"/>
      <c r="AC77" s="4"/>
      <c r="AD77" s="4"/>
      <c r="AE77" s="4"/>
      <c r="AF77" s="4"/>
      <c r="AG77" s="94"/>
      <c r="AH77" s="4"/>
      <c r="AI77" s="4"/>
      <c r="AJ77" s="4"/>
      <c r="AK77" s="4"/>
      <c r="AL77" s="4"/>
      <c r="AM77" s="4"/>
      <c r="AN77" s="4"/>
      <c r="AO77" s="4"/>
      <c r="AP77" s="95">
        <v>0.68100000000000005</v>
      </c>
      <c r="AQ77" s="4"/>
      <c r="AR77" s="94"/>
      <c r="AS77" s="4"/>
      <c r="AT77" s="4"/>
      <c r="AU77" s="4"/>
      <c r="AV77" s="4"/>
      <c r="AW77" s="4"/>
      <c r="AX77" s="4"/>
      <c r="AY77" s="4"/>
      <c r="AZ77" s="4"/>
      <c r="BA77" s="4"/>
      <c r="BB77" s="4">
        <v>17007</v>
      </c>
      <c r="BC77" s="4">
        <v>11905</v>
      </c>
      <c r="BD77" s="4">
        <f>BC77/BB77</f>
        <v>0.70000587993179275</v>
      </c>
      <c r="BE77" s="4"/>
      <c r="BF77" s="4"/>
      <c r="BG77" s="4"/>
      <c r="BH77" s="4"/>
      <c r="BI77" s="4"/>
      <c r="BJ77" s="4"/>
      <c r="BN77" s="22">
        <f t="shared" si="13"/>
        <v>0</v>
      </c>
      <c r="BO77" t="s">
        <v>220</v>
      </c>
      <c r="BT77" s="16" t="s">
        <v>222</v>
      </c>
    </row>
    <row r="78" spans="1:72" x14ac:dyDescent="0.25">
      <c r="A78" s="113"/>
      <c r="B78" s="136"/>
      <c r="C78" s="137"/>
      <c r="D78" s="96" t="s">
        <v>223</v>
      </c>
      <c r="E78" s="96"/>
      <c r="F78" s="4" t="s">
        <v>1</v>
      </c>
      <c r="G78" s="4"/>
      <c r="H78" s="4"/>
      <c r="I78" s="4"/>
      <c r="J78" s="4" t="s">
        <v>70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94"/>
      <c r="AC78" s="4"/>
      <c r="AD78" s="4"/>
      <c r="AE78" s="4"/>
      <c r="AF78" s="4"/>
      <c r="AG78" s="94"/>
      <c r="AH78" s="4"/>
      <c r="AI78" s="4"/>
      <c r="AJ78" s="4"/>
      <c r="AK78" s="4"/>
      <c r="AL78" s="4"/>
      <c r="AM78" s="4"/>
      <c r="AN78" s="4"/>
      <c r="AO78" s="4"/>
      <c r="AP78" s="97">
        <v>0.66500000000000004</v>
      </c>
      <c r="AQ78" s="4"/>
      <c r="AR78" s="9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N78" s="22">
        <f t="shared" si="13"/>
        <v>0</v>
      </c>
      <c r="BO78" t="s">
        <v>220</v>
      </c>
      <c r="BT78" s="16" t="s">
        <v>222</v>
      </c>
    </row>
    <row r="79" spans="1:72" x14ac:dyDescent="0.25">
      <c r="A79" s="113"/>
      <c r="B79" s="136"/>
      <c r="C79" s="138"/>
      <c r="D79" s="98" t="s">
        <v>224</v>
      </c>
      <c r="E79" s="98"/>
      <c r="F79" s="4" t="s">
        <v>1</v>
      </c>
      <c r="G79" s="4"/>
      <c r="H79" s="4"/>
      <c r="I79" s="4"/>
      <c r="J79" s="4" t="s">
        <v>70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94"/>
      <c r="AC79" s="4"/>
      <c r="AD79" s="4"/>
      <c r="AE79" s="4"/>
      <c r="AF79" s="4"/>
      <c r="AG79" s="94"/>
      <c r="AH79" s="4"/>
      <c r="AI79" s="4"/>
      <c r="AJ79" s="4"/>
      <c r="AK79" s="4"/>
      <c r="AL79" s="4"/>
      <c r="AM79" s="4"/>
      <c r="AN79" s="4"/>
      <c r="AO79" s="4"/>
      <c r="AP79" s="95">
        <v>0.73299999999999998</v>
      </c>
      <c r="AQ79" s="4"/>
      <c r="AR79" s="9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N79" s="22">
        <f t="shared" si="13"/>
        <v>0</v>
      </c>
      <c r="BO79" t="s">
        <v>220</v>
      </c>
      <c r="BT79" s="16" t="s">
        <v>222</v>
      </c>
    </row>
    <row r="80" spans="1:72" ht="15" customHeight="1" x14ac:dyDescent="0.25">
      <c r="A80" s="113">
        <v>14</v>
      </c>
      <c r="B80" s="114" t="s">
        <v>225</v>
      </c>
      <c r="C80" s="115" t="str">
        <f>BT80</f>
        <v>N1</v>
      </c>
      <c r="D80" s="116" t="s">
        <v>86</v>
      </c>
      <c r="E80" s="93"/>
      <c r="F80" s="4" t="s">
        <v>1</v>
      </c>
      <c r="G80" s="4" t="s">
        <v>226</v>
      </c>
      <c r="H80" s="4" t="s">
        <v>227</v>
      </c>
      <c r="I80" s="94">
        <v>1</v>
      </c>
      <c r="J80" s="99" t="s">
        <v>228</v>
      </c>
      <c r="K80" s="4" t="s">
        <v>162</v>
      </c>
      <c r="L80" s="4"/>
      <c r="M80" t="s">
        <v>229</v>
      </c>
      <c r="N80" t="s">
        <v>230</v>
      </c>
      <c r="O80" s="4">
        <v>1600</v>
      </c>
      <c r="P80" s="4"/>
      <c r="Q80" s="4" t="s">
        <v>231</v>
      </c>
      <c r="R80" s="94"/>
      <c r="S80" s="94"/>
      <c r="T80" s="94"/>
      <c r="U80" s="94"/>
      <c r="V80" s="94" t="s">
        <v>177</v>
      </c>
      <c r="W80" s="100">
        <v>0.69679999999999997</v>
      </c>
      <c r="X80" s="4"/>
      <c r="Y80" s="4"/>
      <c r="Z80" s="4">
        <v>16.2</v>
      </c>
      <c r="AA80" s="4">
        <v>68.900000000000006</v>
      </c>
      <c r="AB80" s="94" t="s">
        <v>177</v>
      </c>
      <c r="AC80" s="4" t="s">
        <v>232</v>
      </c>
      <c r="AD80" s="4"/>
      <c r="AE80" s="4">
        <v>0.63300000000000001</v>
      </c>
      <c r="AF80" s="4">
        <v>2.2999999999999998</v>
      </c>
      <c r="AG80" s="94"/>
      <c r="AH80" s="4">
        <v>0.19</v>
      </c>
      <c r="AI80" s="4"/>
      <c r="AJ80" s="4"/>
      <c r="AK80" s="4"/>
      <c r="AL80" s="4">
        <v>0.83299999999999996</v>
      </c>
      <c r="AM80" s="4"/>
      <c r="AN80" s="4"/>
      <c r="AO80" s="4"/>
      <c r="AP80" s="95"/>
      <c r="AQ80" s="4"/>
      <c r="AR80" s="94"/>
      <c r="AS80" s="4"/>
      <c r="AT80" s="4"/>
      <c r="AU80" s="4"/>
      <c r="AV80" s="4"/>
      <c r="AW80" s="4"/>
      <c r="AX80" s="4"/>
      <c r="AY80" s="4"/>
      <c r="AZ80" s="4"/>
      <c r="BA80" s="4"/>
      <c r="BB80" s="4">
        <v>346</v>
      </c>
      <c r="BC80" s="4">
        <v>331</v>
      </c>
      <c r="BD80" s="4">
        <v>0.95499999999999996</v>
      </c>
      <c r="BE80" s="4"/>
      <c r="BF80" s="4"/>
      <c r="BG80" s="4">
        <v>20.8</v>
      </c>
      <c r="BH80" s="4">
        <v>19.8</v>
      </c>
      <c r="BI80" s="101">
        <f t="shared" ref="BI80:BI90" si="14">BH80/BG80</f>
        <v>0.95192307692307687</v>
      </c>
      <c r="BJ80" s="4"/>
      <c r="BN80" s="22">
        <f t="shared" si="13"/>
        <v>1600</v>
      </c>
      <c r="BO80" t="s">
        <v>225</v>
      </c>
      <c r="BT80" s="16" t="s">
        <v>233</v>
      </c>
    </row>
    <row r="81" spans="1:72" x14ac:dyDescent="0.25">
      <c r="A81" s="113"/>
      <c r="B81" s="114"/>
      <c r="C81" s="115"/>
      <c r="D81" s="116"/>
      <c r="E81" s="93"/>
      <c r="F81" s="4" t="s">
        <v>1</v>
      </c>
      <c r="G81" s="4" t="s">
        <v>234</v>
      </c>
      <c r="H81" s="4" t="s">
        <v>227</v>
      </c>
      <c r="I81" s="94">
        <v>2</v>
      </c>
      <c r="J81" s="99" t="s">
        <v>228</v>
      </c>
      <c r="K81" s="4" t="s">
        <v>162</v>
      </c>
      <c r="L81" s="4"/>
      <c r="M81" t="s">
        <v>229</v>
      </c>
      <c r="N81" t="s">
        <v>230</v>
      </c>
      <c r="O81" s="4">
        <v>1560</v>
      </c>
      <c r="P81" s="4"/>
      <c r="Q81" s="4" t="s">
        <v>235</v>
      </c>
      <c r="R81" s="4"/>
      <c r="S81" s="4"/>
      <c r="T81" s="4"/>
      <c r="U81" s="4"/>
      <c r="V81" s="4"/>
      <c r="W81" s="4">
        <v>0.68710000000000004</v>
      </c>
      <c r="X81" s="4"/>
      <c r="Y81" s="4"/>
      <c r="Z81" s="4" t="s">
        <v>236</v>
      </c>
      <c r="AA81" s="4"/>
      <c r="AB81" s="94"/>
      <c r="AC81" s="4">
        <v>0.57999999999999996</v>
      </c>
      <c r="AD81" s="4"/>
      <c r="AE81" s="4">
        <v>0.45</v>
      </c>
      <c r="AF81" s="102">
        <f>AVERAGE(5.45,1.86,4.16)</f>
        <v>3.8233333333333337</v>
      </c>
      <c r="AG81" s="94">
        <f>5.5+2.2+5</f>
        <v>12.7</v>
      </c>
      <c r="AH81" s="4">
        <v>0.18</v>
      </c>
      <c r="AI81" s="4"/>
      <c r="AJ81" s="4"/>
      <c r="AK81" s="4"/>
      <c r="AL81" s="4"/>
      <c r="AM81" s="4"/>
      <c r="AN81" s="4"/>
      <c r="AO81" s="4"/>
      <c r="AP81" s="97"/>
      <c r="AQ81" s="4"/>
      <c r="AR81" s="94"/>
      <c r="AS81" s="4"/>
      <c r="AT81" s="4"/>
      <c r="AU81" s="4"/>
      <c r="AV81" s="4"/>
      <c r="AW81" s="4"/>
      <c r="AX81" s="4"/>
      <c r="AY81" s="4"/>
      <c r="AZ81" s="4"/>
      <c r="BA81" s="4"/>
      <c r="BB81" s="4">
        <v>851</v>
      </c>
      <c r="BC81" s="4">
        <v>831</v>
      </c>
      <c r="BD81" s="101">
        <f>BC81/BB81</f>
        <v>0.97649823736780261</v>
      </c>
      <c r="BE81" s="4"/>
      <c r="BF81" s="4"/>
      <c r="BG81" s="4">
        <v>42.8</v>
      </c>
      <c r="BH81" s="4">
        <v>41.7</v>
      </c>
      <c r="BI81" s="101">
        <f t="shared" si="14"/>
        <v>0.97429906542056088</v>
      </c>
      <c r="BJ81" s="4"/>
      <c r="BN81" s="22">
        <f t="shared" si="13"/>
        <v>1560</v>
      </c>
      <c r="BO81" t="s">
        <v>225</v>
      </c>
      <c r="BT81" s="16" t="s">
        <v>233</v>
      </c>
    </row>
    <row r="82" spans="1:72" x14ac:dyDescent="0.25">
      <c r="A82" s="113"/>
      <c r="B82" s="114"/>
      <c r="C82" s="115"/>
      <c r="D82" s="116"/>
      <c r="E82" s="93"/>
      <c r="F82" s="4" t="s">
        <v>1</v>
      </c>
      <c r="G82" s="4" t="s">
        <v>237</v>
      </c>
      <c r="H82" s="4" t="s">
        <v>227</v>
      </c>
      <c r="I82" s="94">
        <v>3</v>
      </c>
      <c r="J82" s="99" t="s">
        <v>228</v>
      </c>
      <c r="K82" s="4" t="s">
        <v>162</v>
      </c>
      <c r="L82" s="4"/>
      <c r="M82" t="s">
        <v>229</v>
      </c>
      <c r="N82" t="s">
        <v>230</v>
      </c>
      <c r="O82" s="4">
        <v>1500</v>
      </c>
      <c r="P82" s="4"/>
      <c r="Q82" s="4" t="s">
        <v>238</v>
      </c>
      <c r="R82" s="4"/>
      <c r="S82" s="4"/>
      <c r="T82" s="4"/>
      <c r="U82" s="4"/>
      <c r="V82" s="4"/>
      <c r="W82" s="4">
        <v>0.65310000000000001</v>
      </c>
      <c r="X82" s="4"/>
      <c r="Y82" s="4"/>
      <c r="Z82" s="4">
        <v>14.3</v>
      </c>
      <c r="AA82" s="4"/>
      <c r="AB82" s="94"/>
      <c r="AC82" s="4" t="s">
        <v>239</v>
      </c>
      <c r="AD82" s="4"/>
      <c r="AE82" s="4">
        <v>0.51300000000000001</v>
      </c>
      <c r="AF82" s="4">
        <f>AVERAGE(5.97,1.87)</f>
        <v>3.92</v>
      </c>
      <c r="AG82" s="94">
        <f>6+1.7</f>
        <v>7.7</v>
      </c>
      <c r="AH82" s="4">
        <v>0.185</v>
      </c>
      <c r="AI82" s="4"/>
      <c r="AJ82" s="4"/>
      <c r="AK82" s="4"/>
      <c r="AL82" s="4"/>
      <c r="AM82" s="4"/>
      <c r="AN82" s="4"/>
      <c r="AO82" s="4"/>
      <c r="AP82" s="95"/>
      <c r="AQ82" s="4"/>
      <c r="AR82" s="94"/>
      <c r="AS82" s="4"/>
      <c r="AT82" s="4"/>
      <c r="AU82" s="4"/>
      <c r="AV82" s="4"/>
      <c r="AW82" s="4"/>
      <c r="AX82" s="4"/>
      <c r="AY82" s="4"/>
      <c r="AZ82" s="4"/>
      <c r="BA82" s="4"/>
      <c r="BB82" s="4">
        <v>728</v>
      </c>
      <c r="BC82" s="4">
        <v>687</v>
      </c>
      <c r="BD82" s="101">
        <f t="shared" ref="BD82:BD90" si="15">BC82/BB82</f>
        <v>0.94368131868131866</v>
      </c>
      <c r="BE82" s="4"/>
      <c r="BF82" s="4"/>
      <c r="BG82" s="4">
        <v>36.5</v>
      </c>
      <c r="BH82" s="4">
        <v>34.5</v>
      </c>
      <c r="BI82" s="101">
        <f t="shared" si="14"/>
        <v>0.9452054794520548</v>
      </c>
      <c r="BJ82" s="4"/>
      <c r="BN82" s="22">
        <f t="shared" si="13"/>
        <v>1500</v>
      </c>
      <c r="BO82" t="s">
        <v>225</v>
      </c>
      <c r="BT82" s="16" t="s">
        <v>233</v>
      </c>
    </row>
    <row r="83" spans="1:72" x14ac:dyDescent="0.25">
      <c r="A83" s="113"/>
      <c r="B83" s="114"/>
      <c r="C83" s="115"/>
      <c r="D83" s="116"/>
      <c r="E83" s="93"/>
      <c r="F83" s="4" t="s">
        <v>1</v>
      </c>
      <c r="G83" s="4" t="s">
        <v>240</v>
      </c>
      <c r="H83" s="4" t="s">
        <v>227</v>
      </c>
      <c r="I83" s="94" t="s">
        <v>241</v>
      </c>
      <c r="J83" s="99" t="s">
        <v>228</v>
      </c>
      <c r="K83" s="4" t="s">
        <v>162</v>
      </c>
      <c r="L83" s="4"/>
      <c r="M83" t="s">
        <v>229</v>
      </c>
      <c r="N83" t="s">
        <v>230</v>
      </c>
      <c r="O83" s="4">
        <v>1680</v>
      </c>
      <c r="P83" s="4"/>
      <c r="Q83" s="4" t="s">
        <v>242</v>
      </c>
      <c r="R83" s="94"/>
      <c r="S83" s="94"/>
      <c r="T83" s="94"/>
      <c r="U83" s="94"/>
      <c r="V83" s="94"/>
      <c r="W83" s="100">
        <v>0.69679999999999997</v>
      </c>
      <c r="X83" s="4"/>
      <c r="Y83" s="4"/>
      <c r="Z83" s="4">
        <v>16</v>
      </c>
      <c r="AA83" s="4">
        <v>68.900000000000006</v>
      </c>
      <c r="AB83" s="94" t="s">
        <v>177</v>
      </c>
      <c r="AC83" s="4">
        <v>0.51</v>
      </c>
      <c r="AD83" s="4"/>
      <c r="AE83" s="4">
        <v>0.51600000000000001</v>
      </c>
      <c r="AF83" s="4">
        <v>2.88</v>
      </c>
      <c r="AG83" s="94">
        <v>2.1</v>
      </c>
      <c r="AH83" s="4">
        <v>0.18</v>
      </c>
      <c r="AI83" s="4"/>
      <c r="AJ83" s="4"/>
      <c r="AK83" s="4"/>
      <c r="AL83" s="4">
        <v>0.83299999999999996</v>
      </c>
      <c r="AM83" s="4"/>
      <c r="AN83" s="4"/>
      <c r="AO83" s="4"/>
      <c r="AP83" s="95"/>
      <c r="AQ83" s="4"/>
      <c r="AR83" s="94"/>
      <c r="AS83" s="4"/>
      <c r="AT83" s="4"/>
      <c r="AU83" s="4"/>
      <c r="AV83" s="4"/>
      <c r="AW83" s="4"/>
      <c r="AX83" s="4"/>
      <c r="AY83" s="4"/>
      <c r="AZ83" s="4"/>
      <c r="BA83" s="4"/>
      <c r="BB83" s="4">
        <v>18</v>
      </c>
      <c r="BC83" s="4">
        <v>16</v>
      </c>
      <c r="BD83" s="101">
        <f t="shared" si="15"/>
        <v>0.88888888888888884</v>
      </c>
      <c r="BE83" s="4"/>
      <c r="BF83" s="4"/>
      <c r="BG83" s="4">
        <v>1.1000000000000001</v>
      </c>
      <c r="BH83" s="4">
        <v>1</v>
      </c>
      <c r="BI83" s="101">
        <f t="shared" si="14"/>
        <v>0.90909090909090906</v>
      </c>
      <c r="BJ83" s="4"/>
      <c r="BN83" s="22">
        <f t="shared" si="13"/>
        <v>1680</v>
      </c>
      <c r="BO83" t="s">
        <v>225</v>
      </c>
      <c r="BT83" s="16" t="s">
        <v>233</v>
      </c>
    </row>
    <row r="84" spans="1:72" x14ac:dyDescent="0.25">
      <c r="A84" s="113"/>
      <c r="B84" s="114"/>
      <c r="C84" s="115"/>
      <c r="D84" s="116"/>
      <c r="E84" s="93"/>
      <c r="F84" s="4" t="s">
        <v>1</v>
      </c>
      <c r="G84" s="4" t="s">
        <v>240</v>
      </c>
      <c r="H84" s="4" t="s">
        <v>243</v>
      </c>
      <c r="I84" s="94" t="s">
        <v>244</v>
      </c>
      <c r="J84" s="99" t="s">
        <v>228</v>
      </c>
      <c r="K84" s="4" t="s">
        <v>162</v>
      </c>
      <c r="L84" s="4"/>
      <c r="M84" t="s">
        <v>229</v>
      </c>
      <c r="N84" t="s">
        <v>230</v>
      </c>
      <c r="O84" s="4">
        <v>1640</v>
      </c>
      <c r="P84" s="4"/>
      <c r="Q84" s="4" t="s">
        <v>245</v>
      </c>
      <c r="R84" s="4"/>
      <c r="S84" s="4"/>
      <c r="T84" s="4"/>
      <c r="U84" s="4"/>
      <c r="V84" s="4"/>
      <c r="W84" s="4" t="s">
        <v>177</v>
      </c>
      <c r="X84" s="4"/>
      <c r="Y84" s="4"/>
      <c r="Z84" s="4">
        <v>16.2</v>
      </c>
      <c r="AA84" s="4"/>
      <c r="AB84" s="94"/>
      <c r="AC84" s="4" t="s">
        <v>246</v>
      </c>
      <c r="AD84" s="4"/>
      <c r="AE84" s="4" t="s">
        <v>177</v>
      </c>
      <c r="AF84" s="4" t="s">
        <v>177</v>
      </c>
      <c r="AG84" s="94">
        <v>4.4000000000000004</v>
      </c>
      <c r="AH84" s="4">
        <v>0.17</v>
      </c>
      <c r="AI84" s="4"/>
      <c r="AJ84" s="4"/>
      <c r="AK84" s="4"/>
      <c r="AL84" s="4"/>
      <c r="AM84" s="4"/>
      <c r="AN84" s="4"/>
      <c r="AO84" s="4"/>
      <c r="AP84" s="97"/>
      <c r="AQ84" s="4"/>
      <c r="AR84" s="94"/>
      <c r="AS84" s="4"/>
      <c r="AT84" s="4"/>
      <c r="AU84" s="4"/>
      <c r="AV84" s="4"/>
      <c r="AW84" s="4"/>
      <c r="AX84" s="4"/>
      <c r="AY84" s="4"/>
      <c r="AZ84" s="4"/>
      <c r="BA84" s="4"/>
      <c r="BB84" s="4">
        <v>65</v>
      </c>
      <c r="BC84" s="4">
        <v>63</v>
      </c>
      <c r="BD84" s="101">
        <f t="shared" si="15"/>
        <v>0.96923076923076923</v>
      </c>
      <c r="BE84" s="4"/>
      <c r="BF84" s="4"/>
      <c r="BG84" s="4">
        <v>3.9</v>
      </c>
      <c r="BH84" s="4">
        <v>3.8</v>
      </c>
      <c r="BI84" s="101">
        <f t="shared" si="14"/>
        <v>0.97435897435897434</v>
      </c>
      <c r="BJ84" s="4"/>
      <c r="BN84" s="22">
        <f t="shared" si="13"/>
        <v>1640</v>
      </c>
      <c r="BO84" t="s">
        <v>225</v>
      </c>
      <c r="BT84" s="16" t="s">
        <v>233</v>
      </c>
    </row>
    <row r="85" spans="1:72" x14ac:dyDescent="0.25">
      <c r="A85" s="113"/>
      <c r="B85" s="114"/>
      <c r="C85" s="115"/>
      <c r="D85" s="116"/>
      <c r="E85" s="93"/>
      <c r="F85" s="4" t="s">
        <v>1</v>
      </c>
      <c r="G85" s="4" t="s">
        <v>247</v>
      </c>
      <c r="H85" s="4" t="s">
        <v>227</v>
      </c>
      <c r="I85" s="94" t="s">
        <v>248</v>
      </c>
      <c r="J85" s="99" t="s">
        <v>228</v>
      </c>
      <c r="K85" s="4" t="s">
        <v>162</v>
      </c>
      <c r="L85" s="4"/>
      <c r="M85" t="s">
        <v>229</v>
      </c>
      <c r="N85" t="s">
        <v>230</v>
      </c>
      <c r="O85" s="4">
        <v>1480</v>
      </c>
      <c r="P85" s="4"/>
      <c r="Q85" s="4" t="s">
        <v>249</v>
      </c>
      <c r="R85" s="4"/>
      <c r="S85" s="4"/>
      <c r="T85" s="4"/>
      <c r="U85" s="4"/>
      <c r="V85" s="4"/>
      <c r="W85" s="4">
        <v>0.64880000000000004</v>
      </c>
      <c r="X85" s="4"/>
      <c r="Y85" s="4"/>
      <c r="Z85" s="4">
        <v>14.1</v>
      </c>
      <c r="AA85" s="4"/>
      <c r="AB85" s="94"/>
      <c r="AC85" s="4" t="s">
        <v>250</v>
      </c>
      <c r="AD85" s="4"/>
      <c r="AE85" s="4">
        <v>0.40600000000000003</v>
      </c>
      <c r="AF85" s="4">
        <v>3.34</v>
      </c>
      <c r="AG85" s="94">
        <v>3.5</v>
      </c>
      <c r="AH85" s="4">
        <v>0.18</v>
      </c>
      <c r="AI85" s="4"/>
      <c r="AJ85" s="4"/>
      <c r="AK85" s="4"/>
      <c r="AL85" s="4"/>
      <c r="AM85" s="4"/>
      <c r="AN85" s="4"/>
      <c r="AO85" s="4"/>
      <c r="AP85" s="95"/>
      <c r="AQ85" s="4"/>
      <c r="AR85" s="94"/>
      <c r="AS85" s="4"/>
      <c r="AT85" s="4"/>
      <c r="AU85" s="4"/>
      <c r="AV85" s="4"/>
      <c r="AW85" s="4"/>
      <c r="AX85" s="4"/>
      <c r="AY85" s="4"/>
      <c r="AZ85" s="4"/>
      <c r="BA85" s="4"/>
      <c r="BB85" s="4">
        <v>74</v>
      </c>
      <c r="BC85" s="4">
        <v>49</v>
      </c>
      <c r="BD85" s="101">
        <f t="shared" si="15"/>
        <v>0.66216216216216217</v>
      </c>
      <c r="BE85" s="4"/>
      <c r="BF85" s="4"/>
      <c r="BG85" s="4">
        <v>3</v>
      </c>
      <c r="BH85" s="4">
        <v>1.9</v>
      </c>
      <c r="BI85" s="101">
        <f t="shared" si="14"/>
        <v>0.6333333333333333</v>
      </c>
      <c r="BJ85" s="4"/>
      <c r="BN85" s="22">
        <f t="shared" si="13"/>
        <v>1480</v>
      </c>
      <c r="BO85" t="s">
        <v>225</v>
      </c>
      <c r="BT85" s="16" t="s">
        <v>233</v>
      </c>
    </row>
    <row r="86" spans="1:72" ht="15" customHeight="1" x14ac:dyDescent="0.25">
      <c r="A86" s="117">
        <v>15</v>
      </c>
      <c r="B86" s="120" t="s">
        <v>225</v>
      </c>
      <c r="C86" s="123" t="str">
        <f>BT86</f>
        <v>O1</v>
      </c>
      <c r="D86" s="126" t="s">
        <v>251</v>
      </c>
      <c r="E86" s="98"/>
      <c r="F86" s="4" t="s">
        <v>1</v>
      </c>
      <c r="G86" s="4" t="s">
        <v>252</v>
      </c>
      <c r="H86" s="4"/>
      <c r="I86" s="94">
        <v>1</v>
      </c>
      <c r="J86" s="99" t="s">
        <v>228</v>
      </c>
      <c r="K86" s="4" t="s">
        <v>162</v>
      </c>
      <c r="L86" s="4"/>
      <c r="M86" t="s">
        <v>229</v>
      </c>
      <c r="O86" s="4">
        <v>2370</v>
      </c>
      <c r="P86" s="4"/>
      <c r="Q86" s="4">
        <v>-2214</v>
      </c>
      <c r="R86" s="94"/>
      <c r="S86" s="94"/>
      <c r="T86" s="94"/>
      <c r="U86" s="94"/>
      <c r="V86" s="94" t="s">
        <v>177</v>
      </c>
      <c r="W86" s="100">
        <v>0.89400000000000002</v>
      </c>
      <c r="X86" s="4"/>
      <c r="Y86" s="4"/>
      <c r="Z86" s="4">
        <v>25.4</v>
      </c>
      <c r="AA86" s="4">
        <v>25.4</v>
      </c>
      <c r="AB86" s="94"/>
      <c r="AC86" s="4">
        <v>0.67800000000000005</v>
      </c>
      <c r="AD86" s="4"/>
      <c r="AE86" s="4"/>
      <c r="AF86" s="4"/>
      <c r="AG86" s="94">
        <v>41</v>
      </c>
      <c r="AH86" s="4">
        <v>0.16300000000000001</v>
      </c>
      <c r="AI86" s="4">
        <v>24.03</v>
      </c>
      <c r="AJ86" s="4"/>
      <c r="AK86" s="4"/>
      <c r="AL86" s="4"/>
      <c r="AM86" s="4"/>
      <c r="AN86" s="4"/>
      <c r="AO86" s="4"/>
      <c r="AP86" s="95"/>
      <c r="AQ86" s="4"/>
      <c r="AR86" s="94"/>
      <c r="AS86" s="4"/>
      <c r="AT86" s="4"/>
      <c r="AU86" s="4"/>
      <c r="AV86" s="4"/>
      <c r="AW86" s="4"/>
      <c r="AX86" s="4"/>
      <c r="AY86" s="4"/>
      <c r="AZ86" s="4"/>
      <c r="BA86" s="4"/>
      <c r="BB86" s="4">
        <f>316+118.3</f>
        <v>434.3</v>
      </c>
      <c r="BC86" s="4">
        <f>312.8+117.1</f>
        <v>429.9</v>
      </c>
      <c r="BD86" s="101">
        <f t="shared" si="15"/>
        <v>0.98986875431729215</v>
      </c>
      <c r="BE86" s="4"/>
      <c r="BF86" s="4"/>
      <c r="BG86" s="4">
        <f>18.3+6.9</f>
        <v>25.200000000000003</v>
      </c>
      <c r="BH86" s="4">
        <f>14.8+5.6</f>
        <v>20.399999999999999</v>
      </c>
      <c r="BI86" s="101">
        <f t="shared" si="14"/>
        <v>0.80952380952380942</v>
      </c>
      <c r="BJ86" s="4"/>
      <c r="BN86" s="22">
        <f t="shared" si="13"/>
        <v>2370</v>
      </c>
      <c r="BO86" t="s">
        <v>225</v>
      </c>
      <c r="BT86" s="16" t="s">
        <v>253</v>
      </c>
    </row>
    <row r="87" spans="1:72" x14ac:dyDescent="0.25">
      <c r="A87" s="118"/>
      <c r="B87" s="121"/>
      <c r="C87" s="124"/>
      <c r="D87" s="127"/>
      <c r="E87" s="103"/>
      <c r="F87" s="4" t="s">
        <v>1</v>
      </c>
      <c r="G87" s="4" t="s">
        <v>254</v>
      </c>
      <c r="H87" s="4"/>
      <c r="I87" s="94">
        <v>2</v>
      </c>
      <c r="J87" s="99" t="s">
        <v>228</v>
      </c>
      <c r="K87" s="4" t="s">
        <v>162</v>
      </c>
      <c r="L87" s="4"/>
      <c r="M87" t="s">
        <v>229</v>
      </c>
      <c r="O87" s="4">
        <v>2460</v>
      </c>
      <c r="P87" s="4"/>
      <c r="Q87" s="4" t="s">
        <v>255</v>
      </c>
      <c r="R87" s="4"/>
      <c r="S87" s="4"/>
      <c r="T87" s="4"/>
      <c r="U87" s="4"/>
      <c r="V87" s="4"/>
      <c r="W87" s="4">
        <v>0.872</v>
      </c>
      <c r="X87" s="4"/>
      <c r="Y87" s="4"/>
      <c r="Z87" s="4">
        <v>23.2</v>
      </c>
      <c r="AA87" s="4">
        <v>23.3</v>
      </c>
      <c r="AB87" s="94"/>
      <c r="AC87" s="4" t="s">
        <v>256</v>
      </c>
      <c r="AD87" s="4"/>
      <c r="AE87" s="4"/>
      <c r="AF87" s="102"/>
      <c r="AG87" s="94">
        <f>36+15</f>
        <v>51</v>
      </c>
      <c r="AH87" s="4">
        <v>0.16300000000000001</v>
      </c>
      <c r="AI87" s="4">
        <f>-19.86-15.8</f>
        <v>-35.659999999999997</v>
      </c>
      <c r="AJ87" s="4"/>
      <c r="AK87" s="4"/>
      <c r="AL87" s="4"/>
      <c r="AM87" s="4"/>
      <c r="AN87" s="4"/>
      <c r="AO87" s="4"/>
      <c r="AP87" s="97"/>
      <c r="AQ87" s="4"/>
      <c r="AR87" s="94"/>
      <c r="AS87" s="4"/>
      <c r="AT87" s="4"/>
      <c r="AU87" s="4"/>
      <c r="AV87" s="4"/>
      <c r="AW87" s="4"/>
      <c r="AX87" s="4"/>
      <c r="AY87" s="4"/>
      <c r="AZ87" s="4"/>
      <c r="BA87" s="4"/>
      <c r="BB87" s="4">
        <f>532.4+249.8</f>
        <v>782.2</v>
      </c>
      <c r="BC87" s="4">
        <f>527.1+247.4</f>
        <v>774.5</v>
      </c>
      <c r="BD87" s="101">
        <f t="shared" si="15"/>
        <v>0.99015597034006642</v>
      </c>
      <c r="BE87" s="4"/>
      <c r="BF87" s="4"/>
      <c r="BG87" s="4">
        <f>26.7+16.5</f>
        <v>43.2</v>
      </c>
      <c r="BH87" s="4">
        <f>25+13</f>
        <v>38</v>
      </c>
      <c r="BI87" s="101">
        <f t="shared" si="14"/>
        <v>0.87962962962962954</v>
      </c>
      <c r="BJ87" s="4"/>
      <c r="BN87" s="22">
        <f t="shared" si="13"/>
        <v>2460</v>
      </c>
      <c r="BO87" t="s">
        <v>225</v>
      </c>
      <c r="BT87" s="16" t="s">
        <v>253</v>
      </c>
    </row>
    <row r="88" spans="1:72" x14ac:dyDescent="0.25">
      <c r="A88" s="118"/>
      <c r="B88" s="121"/>
      <c r="C88" s="124"/>
      <c r="D88" s="127"/>
      <c r="E88" s="103"/>
      <c r="F88" s="4" t="s">
        <v>1</v>
      </c>
      <c r="G88" s="4" t="s">
        <v>257</v>
      </c>
      <c r="H88" s="4"/>
      <c r="I88" s="94">
        <v>3</v>
      </c>
      <c r="J88" s="99" t="s">
        <v>228</v>
      </c>
      <c r="K88" s="4" t="s">
        <v>162</v>
      </c>
      <c r="L88" s="4"/>
      <c r="M88" t="s">
        <v>229</v>
      </c>
      <c r="O88" s="4">
        <v>2530</v>
      </c>
      <c r="P88" s="4"/>
      <c r="Q88" s="4">
        <v>-2361</v>
      </c>
      <c r="R88" s="4"/>
      <c r="S88" s="4"/>
      <c r="T88" s="4"/>
      <c r="U88" s="4"/>
      <c r="V88" s="4"/>
      <c r="W88" s="4">
        <v>0.82599999999999996</v>
      </c>
      <c r="X88" s="4"/>
      <c r="Y88" s="4"/>
      <c r="Z88" s="4">
        <v>27.2</v>
      </c>
      <c r="AA88" s="4">
        <v>27.2</v>
      </c>
      <c r="AB88" s="94"/>
      <c r="AC88" s="4">
        <v>0.624</v>
      </c>
      <c r="AD88" s="4"/>
      <c r="AE88" s="4"/>
      <c r="AF88" s="4"/>
      <c r="AG88" s="94">
        <v>35</v>
      </c>
      <c r="AH88" s="4">
        <v>0.16300000000000001</v>
      </c>
      <c r="AI88" s="4">
        <v>13.7</v>
      </c>
      <c r="AJ88" s="4"/>
      <c r="AK88" s="4"/>
      <c r="AL88" s="4"/>
      <c r="AM88" s="4"/>
      <c r="AN88" s="4"/>
      <c r="AO88" s="4"/>
      <c r="AP88" s="95"/>
      <c r="AQ88" s="4"/>
      <c r="AR88" s="94"/>
      <c r="AS88" s="4"/>
      <c r="AT88" s="4"/>
      <c r="AU88" s="4"/>
      <c r="AV88" s="4"/>
      <c r="AW88" s="4"/>
      <c r="AX88" s="4"/>
      <c r="AY88" s="4"/>
      <c r="AZ88" s="4"/>
      <c r="BA88" s="4"/>
      <c r="BB88" s="4">
        <v>3143</v>
      </c>
      <c r="BC88" s="4">
        <v>3111.5</v>
      </c>
      <c r="BD88" s="101">
        <f t="shared" si="15"/>
        <v>0.98997772828507791</v>
      </c>
      <c r="BE88" s="4"/>
      <c r="BF88" s="4"/>
      <c r="BG88" s="4">
        <v>207.2</v>
      </c>
      <c r="BH88" s="4">
        <v>163.69999999999999</v>
      </c>
      <c r="BI88" s="101">
        <f t="shared" si="14"/>
        <v>0.79005791505791501</v>
      </c>
      <c r="BJ88" s="4"/>
      <c r="BN88" s="22">
        <f t="shared" si="13"/>
        <v>2530</v>
      </c>
      <c r="BO88" t="s">
        <v>225</v>
      </c>
      <c r="BT88" s="16" t="s">
        <v>253</v>
      </c>
    </row>
    <row r="89" spans="1:72" x14ac:dyDescent="0.25">
      <c r="A89" s="118"/>
      <c r="B89" s="121"/>
      <c r="C89" s="124"/>
      <c r="D89" s="127"/>
      <c r="E89" s="103"/>
      <c r="F89" s="4" t="s">
        <v>1</v>
      </c>
      <c r="G89" s="4" t="s">
        <v>258</v>
      </c>
      <c r="H89" s="4"/>
      <c r="I89" s="94">
        <v>4</v>
      </c>
      <c r="J89" s="99" t="s">
        <v>228</v>
      </c>
      <c r="K89" s="4" t="s">
        <v>162</v>
      </c>
      <c r="L89" s="4"/>
      <c r="M89" t="s">
        <v>229</v>
      </c>
      <c r="O89" s="4">
        <v>2600</v>
      </c>
      <c r="P89" s="4"/>
      <c r="Q89" s="4">
        <v>-2402</v>
      </c>
      <c r="R89" s="94"/>
      <c r="S89" s="94"/>
      <c r="T89" s="94"/>
      <c r="U89" s="94"/>
      <c r="V89" s="94"/>
      <c r="W89" s="100" t="s">
        <v>177</v>
      </c>
      <c r="X89" s="4"/>
      <c r="Y89" s="4"/>
      <c r="Z89" s="4"/>
      <c r="AA89" s="4">
        <v>25.8</v>
      </c>
      <c r="AB89" s="94"/>
      <c r="AC89" s="4">
        <v>0.55600000000000005</v>
      </c>
      <c r="AD89" s="4"/>
      <c r="AE89" s="4"/>
      <c r="AF89" s="4"/>
      <c r="AG89" s="94">
        <v>108</v>
      </c>
      <c r="AH89" s="4">
        <v>0.16300000000000001</v>
      </c>
      <c r="AI89" s="4">
        <v>34.770000000000003</v>
      </c>
      <c r="AJ89" s="4"/>
      <c r="AK89" s="4"/>
      <c r="AL89" s="4"/>
      <c r="AM89" s="4"/>
      <c r="AN89" s="4"/>
      <c r="AO89" s="4"/>
      <c r="AP89" s="95"/>
      <c r="AQ89" s="4"/>
      <c r="AR89" s="94"/>
      <c r="AS89" s="4"/>
      <c r="AT89" s="4"/>
      <c r="AU89" s="4"/>
      <c r="AV89" s="4"/>
      <c r="AW89" s="4"/>
      <c r="AX89" s="4"/>
      <c r="AY89" s="4"/>
      <c r="AZ89" s="4"/>
      <c r="BA89" s="4"/>
      <c r="BB89" s="4">
        <v>216.7</v>
      </c>
      <c r="BC89" s="4">
        <v>214.5</v>
      </c>
      <c r="BD89" s="101">
        <f t="shared" si="15"/>
        <v>0.98984771573604069</v>
      </c>
      <c r="BE89" s="4"/>
      <c r="BF89" s="4"/>
      <c r="BG89" s="4">
        <v>18.600000000000001</v>
      </c>
      <c r="BH89" s="4">
        <v>13.8</v>
      </c>
      <c r="BI89" s="101">
        <f t="shared" si="14"/>
        <v>0.74193548387096775</v>
      </c>
      <c r="BJ89" s="4"/>
      <c r="BN89" s="22">
        <f t="shared" si="13"/>
        <v>2600</v>
      </c>
      <c r="BO89" t="s">
        <v>225</v>
      </c>
      <c r="BT89" s="16" t="s">
        <v>253</v>
      </c>
    </row>
    <row r="90" spans="1:72" x14ac:dyDescent="0.25">
      <c r="A90" s="119"/>
      <c r="B90" s="122"/>
      <c r="C90" s="125"/>
      <c r="D90" s="128"/>
      <c r="E90" s="104"/>
      <c r="F90" s="4" t="s">
        <v>1</v>
      </c>
      <c r="G90" s="4" t="s">
        <v>259</v>
      </c>
      <c r="H90" s="4"/>
      <c r="I90" s="94">
        <v>5</v>
      </c>
      <c r="J90" s="4" t="s">
        <v>132</v>
      </c>
      <c r="K90" s="4" t="s">
        <v>132</v>
      </c>
      <c r="L90" s="4"/>
      <c r="M90" t="s">
        <v>229</v>
      </c>
      <c r="N90" t="s">
        <v>260</v>
      </c>
      <c r="O90" s="4">
        <v>3400</v>
      </c>
      <c r="P90" s="4"/>
      <c r="Q90" s="4">
        <v>-3063</v>
      </c>
      <c r="R90" s="4"/>
      <c r="S90" s="4"/>
      <c r="T90" s="4"/>
      <c r="U90" s="4"/>
      <c r="V90" s="4"/>
      <c r="W90" s="4">
        <v>0.88600000000000001</v>
      </c>
      <c r="X90" s="4"/>
      <c r="Y90" s="4"/>
      <c r="Z90" s="4">
        <v>36.4</v>
      </c>
      <c r="AA90" s="4">
        <v>36.4</v>
      </c>
      <c r="AB90" s="94"/>
      <c r="AC90" s="4">
        <v>0.82299999999999995</v>
      </c>
      <c r="AD90" s="4"/>
      <c r="AE90" s="4"/>
      <c r="AF90" s="4"/>
      <c r="AG90" s="94">
        <v>40</v>
      </c>
      <c r="AH90" s="4">
        <v>0.14799999999999999</v>
      </c>
      <c r="AI90" s="4">
        <v>157.21</v>
      </c>
      <c r="AJ90" s="4"/>
      <c r="AK90" s="4"/>
      <c r="AL90" s="4"/>
      <c r="AM90" s="4"/>
      <c r="AN90" s="4"/>
      <c r="AO90" s="4"/>
      <c r="AP90" s="97"/>
      <c r="AQ90" s="4"/>
      <c r="AR90" s="94"/>
      <c r="AS90" s="4"/>
      <c r="AT90" s="4"/>
      <c r="AU90" s="4"/>
      <c r="AV90" s="4"/>
      <c r="AW90" s="4"/>
      <c r="AX90" s="4"/>
      <c r="AY90" s="4"/>
      <c r="AZ90" s="4"/>
      <c r="BA90" s="4"/>
      <c r="BB90" s="4">
        <v>1484</v>
      </c>
      <c r="BC90" s="4">
        <v>1439.4</v>
      </c>
      <c r="BD90" s="101">
        <f t="shared" si="15"/>
        <v>0.96994609164420487</v>
      </c>
      <c r="BE90" s="4"/>
      <c r="BF90" s="4"/>
      <c r="BG90" s="4">
        <v>293.5</v>
      </c>
      <c r="BH90" s="4">
        <v>179.2</v>
      </c>
      <c r="BI90" s="101">
        <f t="shared" si="14"/>
        <v>0.6105621805792163</v>
      </c>
      <c r="BJ90" s="4"/>
      <c r="BN90" s="22">
        <f t="shared" si="13"/>
        <v>3400</v>
      </c>
      <c r="BO90" t="s">
        <v>225</v>
      </c>
      <c r="BT90" s="16" t="s">
        <v>253</v>
      </c>
    </row>
    <row r="91" spans="1:72" x14ac:dyDescent="0.25">
      <c r="A91"/>
      <c r="B91"/>
      <c r="AE91" s="105"/>
    </row>
    <row r="92" spans="1:72" x14ac:dyDescent="0.25">
      <c r="A92"/>
      <c r="B92"/>
    </row>
    <row r="93" spans="1:72" x14ac:dyDescent="0.25">
      <c r="A93"/>
      <c r="B93"/>
    </row>
    <row r="95" spans="1:72" x14ac:dyDescent="0.25">
      <c r="AB95"/>
      <c r="AG95"/>
    </row>
    <row r="96" spans="1:72" x14ac:dyDescent="0.25">
      <c r="AB96"/>
      <c r="AG96"/>
    </row>
    <row r="97" spans="28:33" x14ac:dyDescent="0.25">
      <c r="AB97"/>
      <c r="AG97"/>
    </row>
  </sheetData>
  <autoFilter ref="A3:BO3" xr:uid="{C72B9856-24A9-4EA3-9552-193E67BA4EEA}"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</autoFilter>
  <mergeCells count="91">
    <mergeCell ref="AS3:BA3"/>
    <mergeCell ref="A4:A6"/>
    <mergeCell ref="B4:B6"/>
    <mergeCell ref="C4:C6"/>
    <mergeCell ref="D4:D6"/>
    <mergeCell ref="AJ4:AJ5"/>
    <mergeCell ref="AN4:AN5"/>
    <mergeCell ref="AN10:AN11"/>
    <mergeCell ref="A12:A21"/>
    <mergeCell ref="B12:B21"/>
    <mergeCell ref="C12:C21"/>
    <mergeCell ref="D12:D21"/>
    <mergeCell ref="G12:G16"/>
    <mergeCell ref="I12:I16"/>
    <mergeCell ref="Z12:Z16"/>
    <mergeCell ref="AA12:AA16"/>
    <mergeCell ref="AB12:AB16"/>
    <mergeCell ref="A9:A11"/>
    <mergeCell ref="B9:B11"/>
    <mergeCell ref="C9:C11"/>
    <mergeCell ref="D9:D11"/>
    <mergeCell ref="I10:I11"/>
    <mergeCell ref="X10:X11"/>
    <mergeCell ref="AL12:AL16"/>
    <mergeCell ref="AM12:AM16"/>
    <mergeCell ref="G17:G21"/>
    <mergeCell ref="I17:I21"/>
    <mergeCell ref="Q17:Q21"/>
    <mergeCell ref="R17:R21"/>
    <mergeCell ref="S17:S21"/>
    <mergeCell ref="T17:T21"/>
    <mergeCell ref="U17:U21"/>
    <mergeCell ref="Z17:Z21"/>
    <mergeCell ref="AC12:AC16"/>
    <mergeCell ref="AE12:AE16"/>
    <mergeCell ref="AF12:AF16"/>
    <mergeCell ref="AG12:AG16"/>
    <mergeCell ref="AH12:AH16"/>
    <mergeCell ref="AI12:AI16"/>
    <mergeCell ref="AM17:AM21"/>
    <mergeCell ref="A23:A37"/>
    <mergeCell ref="B23:B37"/>
    <mergeCell ref="C23:C37"/>
    <mergeCell ref="I27:I28"/>
    <mergeCell ref="I33:I36"/>
    <mergeCell ref="AA17:AA21"/>
    <mergeCell ref="AB17:AB21"/>
    <mergeCell ref="AC17:AC21"/>
    <mergeCell ref="AE17:AE21"/>
    <mergeCell ref="AF17:AF21"/>
    <mergeCell ref="AG17:AG21"/>
    <mergeCell ref="A40:A50"/>
    <mergeCell ref="B40:B50"/>
    <mergeCell ref="C40:C50"/>
    <mergeCell ref="I40:I41"/>
    <mergeCell ref="N40:N50"/>
    <mergeCell ref="A51:A59"/>
    <mergeCell ref="B51:B59"/>
    <mergeCell ref="C51:C59"/>
    <mergeCell ref="I51:I52"/>
    <mergeCell ref="N51:N52"/>
    <mergeCell ref="AS40:BA50"/>
    <mergeCell ref="I42:I46"/>
    <mergeCell ref="AO42:AO46"/>
    <mergeCell ref="I47:I50"/>
    <mergeCell ref="AO47:AO50"/>
    <mergeCell ref="AO40:AO41"/>
    <mergeCell ref="A60:A66"/>
    <mergeCell ref="B60:B66"/>
    <mergeCell ref="C60:C66"/>
    <mergeCell ref="I60:I65"/>
    <mergeCell ref="D61:D63"/>
    <mergeCell ref="N53:N55"/>
    <mergeCell ref="I54:I55"/>
    <mergeCell ref="I56:I57"/>
    <mergeCell ref="N56:N57"/>
    <mergeCell ref="N58:N59"/>
    <mergeCell ref="A68:A76"/>
    <mergeCell ref="B68:B76"/>
    <mergeCell ref="C68:C76"/>
    <mergeCell ref="A77:A79"/>
    <mergeCell ref="B77:B79"/>
    <mergeCell ref="C77:C79"/>
    <mergeCell ref="A80:A85"/>
    <mergeCell ref="B80:B85"/>
    <mergeCell ref="C80:C85"/>
    <mergeCell ref="D80:D85"/>
    <mergeCell ref="A86:A90"/>
    <mergeCell ref="B86:B90"/>
    <mergeCell ref="C86:C90"/>
    <mergeCell ref="D86:D90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AB96-73A1-41FE-A630-8BA31A8A37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свод_1_CLAUDE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Камариденова Гаухар Сериковна</dc:creator>
  <cp:lastModifiedBy>Камариденова Гаухар Сериковна</cp:lastModifiedBy>
  <dcterms:created xsi:type="dcterms:W3CDTF">2026-10-02T11:22:31Z</dcterms:created>
  <dcterms:modified xsi:type="dcterms:W3CDTF">2026-10-05T07:29:11Z</dcterms:modified>
</cp:coreProperties>
</file>